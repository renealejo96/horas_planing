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do en vs code\horas_app\backend\"/>
    </mc:Choice>
  </mc:AlternateContent>
  <xr:revisionPtr revIDLastSave="0" documentId="13_ncr:1_{C8ED0146-4754-4BD4-9B05-21071C674528}" xr6:coauthVersionLast="47" xr6:coauthVersionMax="47" xr10:uidLastSave="{00000000-0000-0000-0000-000000000000}"/>
  <bookViews>
    <workbookView xWindow="-108" yWindow="-108" windowWidth="23256" windowHeight="12576" activeTab="1" xr2:uid="{BBA913BC-0311-468D-8E02-7C58257FA7C2}"/>
  </bookViews>
  <sheets>
    <sheet name="SIEMBRA" sheetId="1" r:id="rId1"/>
    <sheet name="DESBROTE" sheetId="5" r:id="rId2"/>
    <sheet name="DESMALEZADO" sheetId="7" r:id="rId3"/>
    <sheet name="COSECHA" sheetId="8" r:id="rId4"/>
    <sheet name="RENDIMIENTOS" sheetId="2" r:id="rId5"/>
  </sheets>
  <definedNames>
    <definedName name="_xlnm._FilterDatabase" localSheetId="4" hidden="1">RENDIMIENTOS!$A$1:$E$1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0" i="2" l="1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D2" i="8" s="1"/>
  <c r="E6" i="2"/>
  <c r="E5" i="2"/>
  <c r="E4" i="2"/>
  <c r="E3" i="2"/>
  <c r="E2" i="2"/>
  <c r="D7" i="8" s="1"/>
  <c r="D3" i="8" l="1"/>
  <c r="D4" i="8"/>
  <c r="D5" i="8"/>
  <c r="D6" i="8"/>
  <c r="D10" i="7"/>
  <c r="D23" i="1"/>
  <c r="D3" i="7"/>
  <c r="D6" i="7"/>
  <c r="D26" i="5"/>
  <c r="D8" i="1"/>
  <c r="D16" i="1"/>
  <c r="D24" i="1"/>
  <c r="D32" i="1"/>
  <c r="D3" i="5"/>
  <c r="D11" i="5"/>
  <c r="D19" i="5"/>
  <c r="D27" i="5"/>
  <c r="D2" i="7"/>
  <c r="D7" i="1"/>
  <c r="D10" i="5"/>
  <c r="D9" i="1"/>
  <c r="D17" i="1"/>
  <c r="D25" i="1"/>
  <c r="D33" i="1"/>
  <c r="D4" i="5"/>
  <c r="D12" i="5"/>
  <c r="D20" i="5"/>
  <c r="D28" i="5"/>
  <c r="D4" i="7"/>
  <c r="D34" i="5"/>
  <c r="D2" i="1"/>
  <c r="D10" i="1"/>
  <c r="D18" i="1"/>
  <c r="D26" i="1"/>
  <c r="D34" i="1"/>
  <c r="D5" i="5"/>
  <c r="D13" i="5"/>
  <c r="D21" i="5"/>
  <c r="D29" i="5"/>
  <c r="D5" i="7"/>
  <c r="D18" i="5"/>
  <c r="D3" i="1"/>
  <c r="D11" i="1"/>
  <c r="D19" i="1"/>
  <c r="D27" i="1"/>
  <c r="D35" i="1"/>
  <c r="D6" i="5"/>
  <c r="D14" i="5"/>
  <c r="D22" i="5"/>
  <c r="D30" i="5"/>
  <c r="D7" i="7"/>
  <c r="D2" i="5"/>
  <c r="D4" i="1"/>
  <c r="D12" i="1"/>
  <c r="D20" i="1"/>
  <c r="D28" i="1"/>
  <c r="D36" i="1"/>
  <c r="D7" i="5"/>
  <c r="D15" i="5"/>
  <c r="D23" i="5"/>
  <c r="D31" i="5"/>
  <c r="D8" i="7"/>
  <c r="D31" i="1"/>
  <c r="D5" i="1"/>
  <c r="D13" i="1"/>
  <c r="D21" i="1"/>
  <c r="D29" i="1"/>
  <c r="D37" i="1"/>
  <c r="D8" i="5"/>
  <c r="D16" i="5"/>
  <c r="D24" i="5"/>
  <c r="D32" i="5"/>
  <c r="D9" i="7"/>
  <c r="D15" i="1"/>
  <c r="D6" i="1"/>
  <c r="D14" i="1"/>
  <c r="D22" i="1"/>
  <c r="D30" i="1"/>
  <c r="D38" i="1"/>
  <c r="D9" i="5"/>
  <c r="D17" i="5"/>
  <c r="D25" i="5"/>
  <c r="D33" i="5"/>
</calcChain>
</file>

<file path=xl/sharedStrings.xml><?xml version="1.0" encoding="utf-8"?>
<sst xmlns="http://schemas.openxmlformats.org/spreadsheetml/2006/main" count="723" uniqueCount="133">
  <si>
    <t>SOLIDAGO</t>
  </si>
  <si>
    <t>ARMADO DE CAMAS</t>
  </si>
  <si>
    <t>SIEMBRA</t>
  </si>
  <si>
    <t>COLOCACION DE ALAMBRE</t>
  </si>
  <si>
    <t>PARCHADO DE CAMAS</t>
  </si>
  <si>
    <t>VERONICA</t>
  </si>
  <si>
    <t>TUMBA</t>
  </si>
  <si>
    <t>HYPERICUM</t>
  </si>
  <si>
    <t>TEJIDO</t>
  </si>
  <si>
    <t>SUNFLOWER</t>
  </si>
  <si>
    <t>RESIEMBRA</t>
  </si>
  <si>
    <t>PRODUCTO</t>
  </si>
  <si>
    <t xml:space="preserve">CULTIVO </t>
  </si>
  <si>
    <t>LABOR</t>
  </si>
  <si>
    <t>UNIDAD</t>
  </si>
  <si>
    <t>RENDIMIENTO</t>
  </si>
  <si>
    <t>GYPSOPHILA</t>
  </si>
  <si>
    <t>Armado de camas</t>
  </si>
  <si>
    <t>camas/hora</t>
  </si>
  <si>
    <t>Alzado de hombros con compost</t>
  </si>
  <si>
    <t>Alzado de hombros sin compost</t>
  </si>
  <si>
    <t>Cambio de escalerillas poda</t>
  </si>
  <si>
    <t>Cambio de pingos poda</t>
  </si>
  <si>
    <t>Colocación de mallas</t>
  </si>
  <si>
    <t>mallas/hora</t>
  </si>
  <si>
    <t>Colocación de escalerillas</t>
  </si>
  <si>
    <t>Colocación de pingos</t>
  </si>
  <si>
    <t>pingos/hora</t>
  </si>
  <si>
    <t>Cosecha</t>
  </si>
  <si>
    <t>Cosecha dumps</t>
  </si>
  <si>
    <t>Desbrote 1</t>
  </si>
  <si>
    <t>plantas/hora</t>
  </si>
  <si>
    <t>Desbrote 2</t>
  </si>
  <si>
    <t>Desmalezado</t>
  </si>
  <si>
    <t>Erradicación de planta</t>
  </si>
  <si>
    <t>Escarificado</t>
  </si>
  <si>
    <t>Incorporación de compost</t>
  </si>
  <si>
    <t>Marcado y humedad</t>
  </si>
  <si>
    <t>Trinchado</t>
  </si>
  <si>
    <t>Pinch</t>
  </si>
  <si>
    <t>Poda</t>
  </si>
  <si>
    <t>Raleo</t>
  </si>
  <si>
    <t>Retejido bloques poda</t>
  </si>
  <si>
    <t>Siembra</t>
  </si>
  <si>
    <t>Soft Pinch / Vegetativo</t>
  </si>
  <si>
    <t>Tejido nuevo</t>
  </si>
  <si>
    <t>Tejido viejo</t>
  </si>
  <si>
    <t>Retiro de tirasavia</t>
  </si>
  <si>
    <t>Tumba</t>
  </si>
  <si>
    <t>Tutoreo</t>
  </si>
  <si>
    <t>Alzado de hombros</t>
  </si>
  <si>
    <t>Basaleo</t>
  </si>
  <si>
    <t>Colocación de alambre</t>
  </si>
  <si>
    <t>Malleros</t>
  </si>
  <si>
    <t>Encalado</t>
  </si>
  <si>
    <t>Desbrote 3</t>
  </si>
  <si>
    <t>Desbrote 4</t>
  </si>
  <si>
    <t>Guiado / Peinado</t>
  </si>
  <si>
    <t>Poda con Tijera</t>
  </si>
  <si>
    <t>Sacudido</t>
  </si>
  <si>
    <t>Preparado de cama</t>
  </si>
  <si>
    <t>Raleo poda / Selección</t>
  </si>
  <si>
    <t>Raleo siembra / Selección</t>
  </si>
  <si>
    <t>Sacado de hoja</t>
  </si>
  <si>
    <t>Sopladora</t>
  </si>
  <si>
    <t>Bajado de mallas</t>
  </si>
  <si>
    <t>Basaleo y bajado de hoja</t>
  </si>
  <si>
    <t>Alzado de camas</t>
  </si>
  <si>
    <t>Escarif. Siem</t>
  </si>
  <si>
    <t>Escarif. Poda</t>
  </si>
  <si>
    <t>Pinch Flor</t>
  </si>
  <si>
    <t>Poda tijera</t>
  </si>
  <si>
    <t xml:space="preserve">Poda guadañado </t>
  </si>
  <si>
    <t xml:space="preserve">Sacado de hoja </t>
  </si>
  <si>
    <t>Vegetativo</t>
  </si>
  <si>
    <t xml:space="preserve">Colocación de pingos </t>
  </si>
  <si>
    <t>Destapado de saran</t>
  </si>
  <si>
    <t>Siem.Semilla</t>
  </si>
  <si>
    <t>semillas/hora</t>
  </si>
  <si>
    <t>Siem.Plantula</t>
  </si>
  <si>
    <t>Tapado con saran</t>
  </si>
  <si>
    <t>FERTILIZACION</t>
  </si>
  <si>
    <t>Picar Caminos</t>
  </si>
  <si>
    <t>Desarmada</t>
  </si>
  <si>
    <t>Trinchar</t>
  </si>
  <si>
    <t>Surco Siembra</t>
  </si>
  <si>
    <t>Col. Mang. Simb</t>
  </si>
  <si>
    <t>Col.Mang. Poda</t>
  </si>
  <si>
    <t>Sacar Mangueras</t>
  </si>
  <si>
    <t>Col. Blaukorn Gyp</t>
  </si>
  <si>
    <t>Varios</t>
  </si>
  <si>
    <t>Col. Calcimed</t>
  </si>
  <si>
    <t>FUMIGACION</t>
  </si>
  <si>
    <t>Fumigación</t>
  </si>
  <si>
    <t>Enraizantes</t>
  </si>
  <si>
    <t>Giberélico</t>
  </si>
  <si>
    <t>Drench</t>
  </si>
  <si>
    <t>Desinfección</t>
  </si>
  <si>
    <t>Operadores</t>
  </si>
  <si>
    <t>COLOCACIÓN DE MALLAS</t>
  </si>
  <si>
    <t>CAMBIO DE ESCALERILLAS PODA</t>
  </si>
  <si>
    <t>COLOCACIÓN DE PINGOS</t>
  </si>
  <si>
    <t xml:space="preserve">PODA GUADAÑADO </t>
  </si>
  <si>
    <t>COLOCACIÓN DE ALAMBRE</t>
  </si>
  <si>
    <t>COLOCACIÓN DE ESCALERILLAS</t>
  </si>
  <si>
    <t>PODA TIJERA</t>
  </si>
  <si>
    <t>TEJIDO VIEJO</t>
  </si>
  <si>
    <t>SIEM.SEMILLA</t>
  </si>
  <si>
    <t>SIEM.PLANTULA</t>
  </si>
  <si>
    <t>TUTOREO</t>
  </si>
  <si>
    <t>PINCH</t>
  </si>
  <si>
    <t>ADELANTADOS</t>
  </si>
  <si>
    <t>BAJADO DE HOJA</t>
  </si>
  <si>
    <t>PINCH FLOR</t>
  </si>
  <si>
    <t>BASALEO</t>
  </si>
  <si>
    <t>DESBROTE 1</t>
  </si>
  <si>
    <t>DESBROTE 2</t>
  </si>
  <si>
    <t>DESBROTE 3</t>
  </si>
  <si>
    <t>SACUDIDO</t>
  </si>
  <si>
    <t>RALEO PODA / SELECCIÓN</t>
  </si>
  <si>
    <t>RALEO SIEMBRA / SELECCIÓN</t>
  </si>
  <si>
    <t>GUIADO / PEINADO</t>
  </si>
  <si>
    <t>DESBROTE 4</t>
  </si>
  <si>
    <t>PREPARADO DE CAMA</t>
  </si>
  <si>
    <t>SOPLADORA</t>
  </si>
  <si>
    <t>DESMALEZADO</t>
  </si>
  <si>
    <t>ESCARIFICADO</t>
  </si>
  <si>
    <t>KEY</t>
  </si>
  <si>
    <t>ESCARIF. SIEM</t>
  </si>
  <si>
    <t>ESCARIF. PODA</t>
  </si>
  <si>
    <t>GRUPO</t>
  </si>
  <si>
    <t>DESBROTE</t>
  </si>
  <si>
    <t>COSECHA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</si>
</sst>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92F7-B2C1-48A7-B6F6-F25C9D45108A}">
  <dimension ref="A1:D38"/>
  <sheetViews>
    <sheetView workbookViewId="0">
      <selection activeCell="A2" sqref="A2"/>
    </sheetView>
  </sheetViews>
  <sheetFormatPr baseColWidth="10" defaultRowHeight="14.4" x14ac:dyDescent="0.3"/>
  <cols>
    <col min="3" max="3" width="29.6640625" customWidth="1"/>
  </cols>
  <sheetData>
    <row r="1" spans="1:4" x14ac:dyDescent="0.3">
      <c r="A1" t="s">
        <v>130</v>
      </c>
      <c r="B1" t="s">
        <v>11</v>
      </c>
      <c r="C1" t="s">
        <v>13</v>
      </c>
      <c r="D1" t="s">
        <v>15</v>
      </c>
    </row>
    <row r="2" spans="1:4" x14ac:dyDescent="0.3">
      <c r="A2" t="s">
        <v>2</v>
      </c>
      <c r="B2" t="s">
        <v>0</v>
      </c>
      <c r="C2" t="s">
        <v>1</v>
      </c>
      <c r="D2">
        <f>_xlfn.XLOOKUP(_xlfn.CONCAT(B2,C2),RENDIMIENTOS!E:E,RENDIMIENTOS!D:D,"",0)</f>
        <v>0.6</v>
      </c>
    </row>
    <row r="3" spans="1:4" x14ac:dyDescent="0.3">
      <c r="A3" t="s">
        <v>2</v>
      </c>
      <c r="B3" t="s">
        <v>0</v>
      </c>
      <c r="C3" t="s">
        <v>99</v>
      </c>
      <c r="D3">
        <f>_xlfn.XLOOKUP(_xlfn.CONCAT(B3,C3),RENDIMIENTOS!E:E,RENDIMIENTOS!D:D,"",0)</f>
        <v>3</v>
      </c>
    </row>
    <row r="4" spans="1:4" x14ac:dyDescent="0.3">
      <c r="A4" t="s">
        <v>2</v>
      </c>
      <c r="B4" t="s">
        <v>0</v>
      </c>
      <c r="C4" t="s">
        <v>100</v>
      </c>
      <c r="D4">
        <f>_xlfn.XLOOKUP(_xlfn.CONCAT(B4,C4),RENDIMIENTOS!E:E,RENDIMIENTOS!D:D,"",0)</f>
        <v>5</v>
      </c>
    </row>
    <row r="5" spans="1:4" x14ac:dyDescent="0.3">
      <c r="A5" t="s">
        <v>2</v>
      </c>
      <c r="B5" t="s">
        <v>0</v>
      </c>
      <c r="C5" t="s">
        <v>101</v>
      </c>
      <c r="D5">
        <f>_xlfn.XLOOKUP(_xlfn.CONCAT(B5,C5),RENDIMIENTOS!E:E,RENDIMIENTOS!D:D,"",0)</f>
        <v>15</v>
      </c>
    </row>
    <row r="6" spans="1:4" x14ac:dyDescent="0.3">
      <c r="A6" t="s">
        <v>2</v>
      </c>
      <c r="B6" t="s">
        <v>0</v>
      </c>
      <c r="C6" t="s">
        <v>102</v>
      </c>
      <c r="D6">
        <f>_xlfn.XLOOKUP(_xlfn.CONCAT(B6,C6),RENDIMIENTOS!E:E,RENDIMIENTOS!D:D,"",0)</f>
        <v>2</v>
      </c>
    </row>
    <row r="7" spans="1:4" x14ac:dyDescent="0.3">
      <c r="A7" t="s">
        <v>2</v>
      </c>
      <c r="B7" t="s">
        <v>0</v>
      </c>
      <c r="C7" t="s">
        <v>2</v>
      </c>
      <c r="D7">
        <f>_xlfn.XLOOKUP(_xlfn.CONCAT(B7,C7),RENDIMIENTOS!E:E,RENDIMIENTOS!D:D,"",0)</f>
        <v>1000</v>
      </c>
    </row>
    <row r="8" spans="1:4" x14ac:dyDescent="0.3">
      <c r="A8" t="s">
        <v>2</v>
      </c>
      <c r="B8" t="s">
        <v>0</v>
      </c>
      <c r="C8" t="s">
        <v>103</v>
      </c>
      <c r="D8">
        <f>_xlfn.XLOOKUP(_xlfn.CONCAT(B8,C8),RENDIMIENTOS!E:E,RENDIMIENTOS!D:D,"",0)</f>
        <v>6</v>
      </c>
    </row>
    <row r="9" spans="1:4" x14ac:dyDescent="0.3">
      <c r="A9" t="s">
        <v>2</v>
      </c>
      <c r="B9" t="s">
        <v>0</v>
      </c>
      <c r="C9" t="s">
        <v>4</v>
      </c>
      <c r="D9" t="str">
        <f>_xlfn.XLOOKUP(_xlfn.CONCAT(B9,C9),RENDIMIENTOS!E:E,RENDIMIENTOS!D:D,"",0)</f>
        <v/>
      </c>
    </row>
    <row r="10" spans="1:4" x14ac:dyDescent="0.3">
      <c r="A10" t="s">
        <v>2</v>
      </c>
      <c r="B10" t="s">
        <v>5</v>
      </c>
      <c r="C10" t="s">
        <v>1</v>
      </c>
      <c r="D10">
        <f>_xlfn.XLOOKUP(_xlfn.CONCAT(B10,C10),RENDIMIENTOS!E:E,RENDIMIENTOS!D:D,"",0)</f>
        <v>1</v>
      </c>
    </row>
    <row r="11" spans="1:4" x14ac:dyDescent="0.3">
      <c r="A11" t="s">
        <v>2</v>
      </c>
      <c r="B11" t="s">
        <v>5</v>
      </c>
      <c r="C11" t="s">
        <v>99</v>
      </c>
      <c r="D11">
        <f>_xlfn.XLOOKUP(_xlfn.CONCAT(B11,C11),RENDIMIENTOS!E:E,RENDIMIENTOS!D:D,"",0)</f>
        <v>3</v>
      </c>
    </row>
    <row r="12" spans="1:4" x14ac:dyDescent="0.3">
      <c r="A12" t="s">
        <v>2</v>
      </c>
      <c r="B12" t="s">
        <v>5</v>
      </c>
      <c r="C12" t="s">
        <v>104</v>
      </c>
      <c r="D12">
        <f>_xlfn.XLOOKUP(_xlfn.CONCAT(B12,C12),RENDIMIENTOS!E:E,RENDIMIENTOS!D:D,"",0)</f>
        <v>5</v>
      </c>
    </row>
    <row r="13" spans="1:4" x14ac:dyDescent="0.3">
      <c r="A13" t="s">
        <v>2</v>
      </c>
      <c r="B13" t="s">
        <v>5</v>
      </c>
      <c r="C13" t="s">
        <v>101</v>
      </c>
      <c r="D13">
        <f>_xlfn.XLOOKUP(_xlfn.CONCAT(B13,C13),RENDIMIENTOS!E:E,RENDIMIENTOS!D:D,"",0)</f>
        <v>15</v>
      </c>
    </row>
    <row r="14" spans="1:4" x14ac:dyDescent="0.3">
      <c r="A14" t="s">
        <v>2</v>
      </c>
      <c r="B14" t="s">
        <v>5</v>
      </c>
      <c r="C14" t="s">
        <v>105</v>
      </c>
      <c r="D14">
        <f>_xlfn.XLOOKUP(_xlfn.CONCAT(B14,C14),RENDIMIENTOS!E:E,RENDIMIENTOS!D:D,"",0)</f>
        <v>500</v>
      </c>
    </row>
    <row r="15" spans="1:4" x14ac:dyDescent="0.3">
      <c r="A15" t="s">
        <v>2</v>
      </c>
      <c r="B15" t="s">
        <v>5</v>
      </c>
      <c r="C15" t="s">
        <v>102</v>
      </c>
      <c r="D15">
        <f>_xlfn.XLOOKUP(_xlfn.CONCAT(B15,C15),RENDIMIENTOS!E:E,RENDIMIENTOS!D:D,"",0)</f>
        <v>2</v>
      </c>
    </row>
    <row r="16" spans="1:4" x14ac:dyDescent="0.3">
      <c r="A16" t="s">
        <v>2</v>
      </c>
      <c r="B16" t="s">
        <v>5</v>
      </c>
      <c r="C16" t="s">
        <v>2</v>
      </c>
      <c r="D16">
        <f>_xlfn.XLOOKUP(_xlfn.CONCAT(B16,C16),RENDIMIENTOS!E:E,RENDIMIENTOS!D:D,"",0)</f>
        <v>1000</v>
      </c>
    </row>
    <row r="17" spans="1:4" x14ac:dyDescent="0.3">
      <c r="A17" t="s">
        <v>2</v>
      </c>
      <c r="B17" t="s">
        <v>5</v>
      </c>
      <c r="C17" t="s">
        <v>103</v>
      </c>
      <c r="D17" t="str">
        <f>_xlfn.XLOOKUP(_xlfn.CONCAT(B17,C17),RENDIMIENTOS!E:E,RENDIMIENTOS!D:D,"",0)</f>
        <v/>
      </c>
    </row>
    <row r="18" spans="1:4" x14ac:dyDescent="0.3">
      <c r="A18" t="s">
        <v>2</v>
      </c>
      <c r="B18" t="s">
        <v>5</v>
      </c>
      <c r="C18" t="s">
        <v>6</v>
      </c>
      <c r="D18">
        <f>_xlfn.XLOOKUP(_xlfn.CONCAT(B18,C18),RENDIMIENTOS!E:E,RENDIMIENTOS!D:D,"",0)</f>
        <v>3</v>
      </c>
    </row>
    <row r="19" spans="1:4" x14ac:dyDescent="0.3">
      <c r="A19" t="s">
        <v>2</v>
      </c>
      <c r="B19" t="s">
        <v>7</v>
      </c>
      <c r="C19" t="s">
        <v>1</v>
      </c>
      <c r="D19">
        <f>_xlfn.XLOOKUP(_xlfn.CONCAT(B19,C19),RENDIMIENTOS!E:E,RENDIMIENTOS!D:D,"",0)</f>
        <v>0.6</v>
      </c>
    </row>
    <row r="20" spans="1:4" x14ac:dyDescent="0.3">
      <c r="A20" t="s">
        <v>2</v>
      </c>
      <c r="B20" t="s">
        <v>7</v>
      </c>
      <c r="C20" t="s">
        <v>99</v>
      </c>
      <c r="D20">
        <f>_xlfn.XLOOKUP(_xlfn.CONCAT(B20,C20),RENDIMIENTOS!E:E,RENDIMIENTOS!D:D,"",0)</f>
        <v>3</v>
      </c>
    </row>
    <row r="21" spans="1:4" x14ac:dyDescent="0.3">
      <c r="A21" t="s">
        <v>2</v>
      </c>
      <c r="B21" t="s">
        <v>7</v>
      </c>
      <c r="C21" t="s">
        <v>104</v>
      </c>
      <c r="D21">
        <f>_xlfn.XLOOKUP(_xlfn.CONCAT(B21,C21),RENDIMIENTOS!E:E,RENDIMIENTOS!D:D,"",0)</f>
        <v>5</v>
      </c>
    </row>
    <row r="22" spans="1:4" x14ac:dyDescent="0.3">
      <c r="A22" t="s">
        <v>2</v>
      </c>
      <c r="B22" t="s">
        <v>7</v>
      </c>
      <c r="C22" t="s">
        <v>101</v>
      </c>
      <c r="D22">
        <f>_xlfn.XLOOKUP(_xlfn.CONCAT(B22,C22),RENDIMIENTOS!E:E,RENDIMIENTOS!D:D,"",0)</f>
        <v>15</v>
      </c>
    </row>
    <row r="23" spans="1:4" x14ac:dyDescent="0.3">
      <c r="A23" t="s">
        <v>2</v>
      </c>
      <c r="B23" t="s">
        <v>7</v>
      </c>
      <c r="C23" t="s">
        <v>58</v>
      </c>
      <c r="D23">
        <f>_xlfn.XLOOKUP(_xlfn.CONCAT(B23,C23),RENDIMIENTOS!E:E,RENDIMIENTOS!D:D,"",0)</f>
        <v>500</v>
      </c>
    </row>
    <row r="24" spans="1:4" x14ac:dyDescent="0.3">
      <c r="A24" t="s">
        <v>2</v>
      </c>
      <c r="B24" t="s">
        <v>7</v>
      </c>
      <c r="C24" t="s">
        <v>2</v>
      </c>
      <c r="D24">
        <f>_xlfn.XLOOKUP(_xlfn.CONCAT(B24,C24),RENDIMIENTOS!E:E,RENDIMIENTOS!D:D,"",0)</f>
        <v>1000</v>
      </c>
    </row>
    <row r="25" spans="1:4" x14ac:dyDescent="0.3">
      <c r="A25" t="s">
        <v>2</v>
      </c>
      <c r="B25" t="s">
        <v>7</v>
      </c>
      <c r="C25" t="s">
        <v>103</v>
      </c>
      <c r="D25">
        <f>_xlfn.XLOOKUP(_xlfn.CONCAT(B25,C25),RENDIMIENTOS!E:E,RENDIMIENTOS!D:D,"",0)</f>
        <v>6</v>
      </c>
    </row>
    <row r="26" spans="1:4" x14ac:dyDescent="0.3">
      <c r="A26" t="s">
        <v>2</v>
      </c>
      <c r="B26" t="s">
        <v>7</v>
      </c>
      <c r="C26" t="s">
        <v>4</v>
      </c>
      <c r="D26" t="str">
        <f>_xlfn.XLOOKUP(_xlfn.CONCAT(B26,C26),RENDIMIENTOS!E:E,RENDIMIENTOS!D:D,"",0)</f>
        <v/>
      </c>
    </row>
    <row r="27" spans="1:4" x14ac:dyDescent="0.3">
      <c r="A27" t="s">
        <v>2</v>
      </c>
      <c r="B27" t="s">
        <v>7</v>
      </c>
      <c r="C27" t="s">
        <v>106</v>
      </c>
      <c r="D27">
        <f>_xlfn.XLOOKUP(_xlfn.CONCAT(B27,C27),RENDIMIENTOS!E:E,RENDIMIENTOS!D:D,"",0)</f>
        <v>4</v>
      </c>
    </row>
    <row r="28" spans="1:4" x14ac:dyDescent="0.3">
      <c r="A28" t="s">
        <v>2</v>
      </c>
      <c r="B28" t="s">
        <v>9</v>
      </c>
      <c r="C28" t="s">
        <v>1</v>
      </c>
      <c r="D28" t="str">
        <f>_xlfn.XLOOKUP(_xlfn.CONCAT(B28,C28),RENDIMIENTOS!E:E,RENDIMIENTOS!D:D,"",0)</f>
        <v/>
      </c>
    </row>
    <row r="29" spans="1:4" x14ac:dyDescent="0.3">
      <c r="A29" t="s">
        <v>2</v>
      </c>
      <c r="B29" t="s">
        <v>9</v>
      </c>
      <c r="C29" t="s">
        <v>99</v>
      </c>
      <c r="D29">
        <f>_xlfn.XLOOKUP(_xlfn.CONCAT(B29,C29),RENDIMIENTOS!E:E,RENDIMIENTOS!D:D,"",0)</f>
        <v>2</v>
      </c>
    </row>
    <row r="30" spans="1:4" x14ac:dyDescent="0.3">
      <c r="A30" t="s">
        <v>2</v>
      </c>
      <c r="B30" t="s">
        <v>9</v>
      </c>
      <c r="C30" t="s">
        <v>104</v>
      </c>
      <c r="D30">
        <f>_xlfn.XLOOKUP(_xlfn.CONCAT(B30,C30),RENDIMIENTOS!E:E,RENDIMIENTOS!D:D,"",0)</f>
        <v>5</v>
      </c>
    </row>
    <row r="31" spans="1:4" x14ac:dyDescent="0.3">
      <c r="A31" t="s">
        <v>2</v>
      </c>
      <c r="B31" t="s">
        <v>9</v>
      </c>
      <c r="C31" t="s">
        <v>101</v>
      </c>
      <c r="D31" t="str">
        <f>_xlfn.XLOOKUP(_xlfn.CONCAT(B31,C31),RENDIMIENTOS!E:E,RENDIMIENTOS!D:D,"",0)</f>
        <v/>
      </c>
    </row>
    <row r="32" spans="1:4" x14ac:dyDescent="0.3">
      <c r="A32" t="s">
        <v>2</v>
      </c>
      <c r="B32" t="s">
        <v>9</v>
      </c>
      <c r="C32" t="s">
        <v>10</v>
      </c>
      <c r="D32" t="str">
        <f>_xlfn.XLOOKUP(_xlfn.CONCAT(B32,C32),RENDIMIENTOS!E:E,RENDIMIENTOS!D:D,"",0)</f>
        <v/>
      </c>
    </row>
    <row r="33" spans="1:4" x14ac:dyDescent="0.3">
      <c r="A33" t="s">
        <v>2</v>
      </c>
      <c r="B33" t="s">
        <v>9</v>
      </c>
      <c r="C33" t="s">
        <v>107</v>
      </c>
      <c r="D33">
        <f>_xlfn.XLOOKUP(_xlfn.CONCAT(B33,C33),RENDIMIENTOS!E:E,RENDIMIENTOS!D:D,"",0)</f>
        <v>1200</v>
      </c>
    </row>
    <row r="34" spans="1:4" x14ac:dyDescent="0.3">
      <c r="A34" t="s">
        <v>2</v>
      </c>
      <c r="B34" t="s">
        <v>9</v>
      </c>
      <c r="C34" t="s">
        <v>108</v>
      </c>
      <c r="D34">
        <f>_xlfn.XLOOKUP(_xlfn.CONCAT(B34,C34),RENDIMIENTOS!E:E,RENDIMIENTOS!D:D,"",0)</f>
        <v>650</v>
      </c>
    </row>
    <row r="35" spans="1:4" x14ac:dyDescent="0.3">
      <c r="A35" t="s">
        <v>2</v>
      </c>
      <c r="B35" t="s">
        <v>9</v>
      </c>
      <c r="C35" t="s">
        <v>3</v>
      </c>
      <c r="D35" t="str">
        <f>_xlfn.XLOOKUP(_xlfn.CONCAT(B35,C35),RENDIMIENTOS!E:E,RENDIMIENTOS!D:D,"",0)</f>
        <v/>
      </c>
    </row>
    <row r="36" spans="1:4" x14ac:dyDescent="0.3">
      <c r="A36" t="s">
        <v>2</v>
      </c>
      <c r="B36" t="s">
        <v>9</v>
      </c>
      <c r="C36" t="s">
        <v>6</v>
      </c>
      <c r="D36">
        <f>_xlfn.XLOOKUP(_xlfn.CONCAT(B36,C36),RENDIMIENTOS!E:E,RENDIMIENTOS!D:D,"",0)</f>
        <v>3</v>
      </c>
    </row>
    <row r="37" spans="1:4" x14ac:dyDescent="0.3">
      <c r="A37" t="s">
        <v>2</v>
      </c>
      <c r="B37" t="s">
        <v>9</v>
      </c>
      <c r="C37" t="s">
        <v>4</v>
      </c>
      <c r="D37" t="str">
        <f>_xlfn.XLOOKUP(_xlfn.CONCAT(B37,C37),RENDIMIENTOS!E:E,RENDIMIENTOS!D:D,"",0)</f>
        <v/>
      </c>
    </row>
    <row r="38" spans="1:4" x14ac:dyDescent="0.3">
      <c r="A38" t="s">
        <v>2</v>
      </c>
      <c r="B38" t="s">
        <v>9</v>
      </c>
      <c r="C38" t="s">
        <v>8</v>
      </c>
      <c r="D38" t="str">
        <f>_xlfn.XLOOKUP(_xlfn.CONCAT(B38,C38),RENDIMIENTOS!E:E,RENDIMIENTOS!D:D,"",0)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EFF9-FF2A-4C55-8032-78089F72CAEC}">
  <dimension ref="A1:D34"/>
  <sheetViews>
    <sheetView tabSelected="1" workbookViewId="0"/>
  </sheetViews>
  <sheetFormatPr baseColWidth="10" defaultRowHeight="14.4" x14ac:dyDescent="0.3"/>
  <cols>
    <col min="3" max="3" width="28.5546875" customWidth="1"/>
  </cols>
  <sheetData>
    <row r="1" spans="1:4" x14ac:dyDescent="0.3">
      <c r="A1" t="s">
        <v>130</v>
      </c>
      <c r="B1" t="s">
        <v>11</v>
      </c>
      <c r="C1" t="s">
        <v>13</v>
      </c>
      <c r="D1" t="s">
        <v>15</v>
      </c>
    </row>
    <row r="2" spans="1:4" x14ac:dyDescent="0.3">
      <c r="A2" t="s">
        <v>131</v>
      </c>
      <c r="B2" t="s">
        <v>0</v>
      </c>
      <c r="C2" t="s">
        <v>109</v>
      </c>
      <c r="D2">
        <f>_xlfn.XLOOKUP(_xlfn.CONCAT(B2,C2),RENDIMIENTOS!E:E,RENDIMIENTOS!D:D,"",0)</f>
        <v>6</v>
      </c>
    </row>
    <row r="3" spans="1:4" x14ac:dyDescent="0.3">
      <c r="A3" t="s">
        <v>131</v>
      </c>
      <c r="B3" t="s">
        <v>0</v>
      </c>
      <c r="C3" t="s">
        <v>119</v>
      </c>
      <c r="D3">
        <f>_xlfn.XLOOKUP(_xlfn.CONCAT(B3,C3),RENDIMIENTOS!E:E,RENDIMIENTOS!D:D,"",0)</f>
        <v>300</v>
      </c>
    </row>
    <row r="4" spans="1:4" x14ac:dyDescent="0.3">
      <c r="A4" t="s">
        <v>131</v>
      </c>
      <c r="B4" t="s">
        <v>0</v>
      </c>
      <c r="C4" t="s">
        <v>120</v>
      </c>
      <c r="D4">
        <f>_xlfn.XLOOKUP(_xlfn.CONCAT(B4,C4),RENDIMIENTOS!E:E,RENDIMIENTOS!D:D,"",0)</f>
        <v>500</v>
      </c>
    </row>
    <row r="5" spans="1:4" x14ac:dyDescent="0.3">
      <c r="A5" t="s">
        <v>131</v>
      </c>
      <c r="B5" t="s">
        <v>0</v>
      </c>
      <c r="C5" t="s">
        <v>110</v>
      </c>
      <c r="D5">
        <f>_xlfn.XLOOKUP(_xlfn.CONCAT(B5,C5),RENDIMIENTOS!E:E,RENDIMIENTOS!D:D,"",0)</f>
        <v>2</v>
      </c>
    </row>
    <row r="6" spans="1:4" x14ac:dyDescent="0.3">
      <c r="A6" t="s">
        <v>131</v>
      </c>
      <c r="B6" t="s">
        <v>0</v>
      </c>
      <c r="C6" t="s">
        <v>111</v>
      </c>
      <c r="D6" t="str">
        <f>_xlfn.XLOOKUP(_xlfn.CONCAT(B6,C6),RENDIMIENTOS!E:E,RENDIMIENTOS!D:D,"",0)</f>
        <v/>
      </c>
    </row>
    <row r="7" spans="1:4" x14ac:dyDescent="0.3">
      <c r="A7" t="s">
        <v>131</v>
      </c>
      <c r="B7" t="s">
        <v>0</v>
      </c>
      <c r="C7" t="s">
        <v>112</v>
      </c>
      <c r="D7" t="str">
        <f>_xlfn.XLOOKUP(_xlfn.CONCAT(B7,C7),RENDIMIENTOS!E:E,RENDIMIENTOS!D:D,"",0)</f>
        <v/>
      </c>
    </row>
    <row r="8" spans="1:4" x14ac:dyDescent="0.3">
      <c r="A8" t="s">
        <v>131</v>
      </c>
      <c r="B8" t="s">
        <v>5</v>
      </c>
      <c r="C8" t="s">
        <v>109</v>
      </c>
      <c r="D8">
        <f>_xlfn.XLOOKUP(_xlfn.CONCAT(B8,C8),RENDIMIENTOS!E:E,RENDIMIENTOS!D:D,"",0)</f>
        <v>6</v>
      </c>
    </row>
    <row r="9" spans="1:4" x14ac:dyDescent="0.3">
      <c r="A9" t="s">
        <v>131</v>
      </c>
      <c r="B9" t="s">
        <v>5</v>
      </c>
      <c r="C9" t="s">
        <v>119</v>
      </c>
      <c r="D9">
        <f>_xlfn.XLOOKUP(_xlfn.CONCAT(B9,C9),RENDIMIENTOS!E:E,RENDIMIENTOS!D:D,"",0)</f>
        <v>350</v>
      </c>
    </row>
    <row r="10" spans="1:4" x14ac:dyDescent="0.3">
      <c r="A10" t="s">
        <v>131</v>
      </c>
      <c r="B10" t="s">
        <v>5</v>
      </c>
      <c r="C10" t="s">
        <v>120</v>
      </c>
      <c r="D10">
        <f>_xlfn.XLOOKUP(_xlfn.CONCAT(B10,C10),RENDIMIENTOS!E:E,RENDIMIENTOS!D:D,"",0)</f>
        <v>500</v>
      </c>
    </row>
    <row r="11" spans="1:4" x14ac:dyDescent="0.3">
      <c r="A11" t="s">
        <v>131</v>
      </c>
      <c r="B11" t="s">
        <v>5</v>
      </c>
      <c r="C11" t="s">
        <v>113</v>
      </c>
      <c r="D11">
        <f>_xlfn.XLOOKUP(_xlfn.CONCAT(B11,C11),RENDIMIENTOS!E:E,RENDIMIENTOS!D:D,"",0)</f>
        <v>2</v>
      </c>
    </row>
    <row r="12" spans="1:4" x14ac:dyDescent="0.3">
      <c r="A12" t="s">
        <v>131</v>
      </c>
      <c r="B12" t="s">
        <v>5</v>
      </c>
      <c r="C12" t="s">
        <v>110</v>
      </c>
      <c r="D12">
        <f>_xlfn.XLOOKUP(_xlfn.CONCAT(B12,C12),RENDIMIENTOS!E:E,RENDIMIENTOS!D:D,"",0)</f>
        <v>2500</v>
      </c>
    </row>
    <row r="13" spans="1:4" x14ac:dyDescent="0.3">
      <c r="A13" t="s">
        <v>131</v>
      </c>
      <c r="B13" t="s">
        <v>5</v>
      </c>
      <c r="C13" t="s">
        <v>114</v>
      </c>
      <c r="D13">
        <f>_xlfn.XLOOKUP(_xlfn.CONCAT(B13,C13),RENDIMIENTOS!E:E,RENDIMIENTOS!D:D,"",0)</f>
        <v>2</v>
      </c>
    </row>
    <row r="14" spans="1:4" x14ac:dyDescent="0.3">
      <c r="A14" t="s">
        <v>131</v>
      </c>
      <c r="B14" t="s">
        <v>5</v>
      </c>
      <c r="C14" t="s">
        <v>112</v>
      </c>
      <c r="D14" t="str">
        <f>_xlfn.XLOOKUP(_xlfn.CONCAT(B14,C14),RENDIMIENTOS!E:E,RENDIMIENTOS!D:D,"",0)</f>
        <v/>
      </c>
    </row>
    <row r="15" spans="1:4" x14ac:dyDescent="0.3">
      <c r="A15" t="s">
        <v>131</v>
      </c>
      <c r="B15" t="s">
        <v>7</v>
      </c>
      <c r="C15" t="s">
        <v>109</v>
      </c>
      <c r="D15">
        <f>_xlfn.XLOOKUP(_xlfn.CONCAT(B15,C15),RENDIMIENTOS!E:E,RENDIMIENTOS!D:D,"",0)</f>
        <v>6</v>
      </c>
    </row>
    <row r="16" spans="1:4" x14ac:dyDescent="0.3">
      <c r="A16" t="s">
        <v>131</v>
      </c>
      <c r="B16" t="s">
        <v>16</v>
      </c>
      <c r="C16" t="s">
        <v>109</v>
      </c>
      <c r="D16">
        <f>_xlfn.XLOOKUP(_xlfn.CONCAT(B16,C16),RENDIMIENTOS!E:E,RENDIMIENTOS!D:D,"",0)</f>
        <v>6</v>
      </c>
    </row>
    <row r="17" spans="1:4" x14ac:dyDescent="0.3">
      <c r="A17" t="s">
        <v>131</v>
      </c>
      <c r="B17" t="s">
        <v>7</v>
      </c>
      <c r="C17" t="s">
        <v>121</v>
      </c>
      <c r="D17">
        <f>_xlfn.XLOOKUP(_xlfn.CONCAT(B17,C17),RENDIMIENTOS!E:E,RENDIMIENTOS!D:D,"",0)</f>
        <v>8</v>
      </c>
    </row>
    <row r="18" spans="1:4" x14ac:dyDescent="0.3">
      <c r="A18" t="s">
        <v>131</v>
      </c>
      <c r="B18" t="s">
        <v>7</v>
      </c>
      <c r="C18" t="s">
        <v>119</v>
      </c>
      <c r="D18">
        <f>_xlfn.XLOOKUP(_xlfn.CONCAT(B18,C18),RENDIMIENTOS!E:E,RENDIMIENTOS!D:D,"",0)</f>
        <v>525</v>
      </c>
    </row>
    <row r="19" spans="1:4" x14ac:dyDescent="0.3">
      <c r="A19" t="s">
        <v>131</v>
      </c>
      <c r="B19" t="s">
        <v>7</v>
      </c>
      <c r="C19" t="s">
        <v>120</v>
      </c>
      <c r="D19">
        <f>_xlfn.XLOOKUP(_xlfn.CONCAT(B19,C19),RENDIMIENTOS!E:E,RENDIMIENTOS!D:D,"",0)</f>
        <v>900</v>
      </c>
    </row>
    <row r="20" spans="1:4" x14ac:dyDescent="0.3">
      <c r="A20" t="s">
        <v>131</v>
      </c>
      <c r="B20" t="s">
        <v>7</v>
      </c>
      <c r="C20" t="s">
        <v>110</v>
      </c>
      <c r="D20">
        <f>_xlfn.XLOOKUP(_xlfn.CONCAT(B20,C20),RENDIMIENTOS!E:E,RENDIMIENTOS!D:D,"",0)</f>
        <v>2500</v>
      </c>
    </row>
    <row r="21" spans="1:4" x14ac:dyDescent="0.3">
      <c r="A21" t="s">
        <v>131</v>
      </c>
      <c r="B21" t="s">
        <v>7</v>
      </c>
      <c r="C21" t="s">
        <v>115</v>
      </c>
      <c r="D21">
        <f>_xlfn.XLOOKUP(_xlfn.CONCAT(B21,C21),RENDIMIENTOS!E:E,RENDIMIENTOS!D:D,"",0)</f>
        <v>550</v>
      </c>
    </row>
    <row r="22" spans="1:4" x14ac:dyDescent="0.3">
      <c r="A22" t="s">
        <v>131</v>
      </c>
      <c r="B22" t="s">
        <v>16</v>
      </c>
      <c r="C22" t="s">
        <v>115</v>
      </c>
      <c r="D22">
        <f>_xlfn.XLOOKUP(_xlfn.CONCAT(B22,C22),RENDIMIENTOS!E:E,RENDIMIENTOS!D:D,"",0)</f>
        <v>345</v>
      </c>
    </row>
    <row r="23" spans="1:4" x14ac:dyDescent="0.3">
      <c r="A23" t="s">
        <v>131</v>
      </c>
      <c r="B23" t="s">
        <v>7</v>
      </c>
      <c r="C23" t="s">
        <v>116</v>
      </c>
      <c r="D23">
        <f>_xlfn.XLOOKUP(_xlfn.CONCAT(B23,C23),RENDIMIENTOS!E:E,RENDIMIENTOS!D:D,"",0)</f>
        <v>650</v>
      </c>
    </row>
    <row r="24" spans="1:4" x14ac:dyDescent="0.3">
      <c r="A24" t="s">
        <v>131</v>
      </c>
      <c r="B24" t="s">
        <v>16</v>
      </c>
      <c r="C24" t="s">
        <v>116</v>
      </c>
      <c r="D24">
        <f>_xlfn.XLOOKUP(_xlfn.CONCAT(B24,C24),RENDIMIENTOS!E:E,RENDIMIENTOS!D:D,"",0)</f>
        <v>500</v>
      </c>
    </row>
    <row r="25" spans="1:4" x14ac:dyDescent="0.3">
      <c r="A25" t="s">
        <v>131</v>
      </c>
      <c r="B25" t="s">
        <v>7</v>
      </c>
      <c r="C25" t="s">
        <v>117</v>
      </c>
      <c r="D25">
        <f>_xlfn.XLOOKUP(_xlfn.CONCAT(B25,C25),RENDIMIENTOS!E:E,RENDIMIENTOS!D:D,"",0)</f>
        <v>1000</v>
      </c>
    </row>
    <row r="26" spans="1:4" x14ac:dyDescent="0.3">
      <c r="A26" t="s">
        <v>131</v>
      </c>
      <c r="B26" t="s">
        <v>7</v>
      </c>
      <c r="C26" t="s">
        <v>122</v>
      </c>
      <c r="D26">
        <f>_xlfn.XLOOKUP(_xlfn.CONCAT(B26,C26),RENDIMIENTOS!E:E,RENDIMIENTOS!D:D,"",0)</f>
        <v>1500</v>
      </c>
    </row>
    <row r="27" spans="1:4" x14ac:dyDescent="0.3">
      <c r="A27" t="s">
        <v>131</v>
      </c>
      <c r="B27" t="s">
        <v>7</v>
      </c>
      <c r="C27" t="s">
        <v>123</v>
      </c>
      <c r="D27">
        <f>_xlfn.XLOOKUP(_xlfn.CONCAT(B27,C27),RENDIMIENTOS!E:E,RENDIMIENTOS!D:D,"",0)</f>
        <v>1000</v>
      </c>
    </row>
    <row r="28" spans="1:4" x14ac:dyDescent="0.3">
      <c r="A28" t="s">
        <v>131</v>
      </c>
      <c r="B28" t="s">
        <v>7</v>
      </c>
      <c r="C28" t="s">
        <v>114</v>
      </c>
      <c r="D28">
        <f>_xlfn.XLOOKUP(_xlfn.CONCAT(B28,C28),RENDIMIENTOS!E:E,RENDIMIENTOS!D:D,"",0)</f>
        <v>1.5</v>
      </c>
    </row>
    <row r="29" spans="1:4" x14ac:dyDescent="0.3">
      <c r="A29" t="s">
        <v>131</v>
      </c>
      <c r="B29" t="s">
        <v>7</v>
      </c>
      <c r="C29" t="s">
        <v>124</v>
      </c>
      <c r="D29">
        <f>_xlfn.XLOOKUP(_xlfn.CONCAT(B29,C29),RENDIMIENTOS!E:E,RENDIMIENTOS!D:D,"",0)</f>
        <v>25</v>
      </c>
    </row>
    <row r="30" spans="1:4" x14ac:dyDescent="0.3">
      <c r="A30" t="s">
        <v>131</v>
      </c>
      <c r="B30" t="s">
        <v>7</v>
      </c>
      <c r="C30" t="s">
        <v>118</v>
      </c>
      <c r="D30">
        <f>_xlfn.XLOOKUP(_xlfn.CONCAT(B30,C30),RENDIMIENTOS!E:E,RENDIMIENTOS!D:D,"",0)</f>
        <v>10</v>
      </c>
    </row>
    <row r="31" spans="1:4" x14ac:dyDescent="0.3">
      <c r="A31" t="s">
        <v>131</v>
      </c>
      <c r="B31" t="s">
        <v>7</v>
      </c>
      <c r="C31" t="s">
        <v>111</v>
      </c>
      <c r="D31" t="str">
        <f>_xlfn.XLOOKUP(_xlfn.CONCAT(B31,C31),RENDIMIENTOS!E:E,RENDIMIENTOS!D:D,"",0)</f>
        <v/>
      </c>
    </row>
    <row r="32" spans="1:4" x14ac:dyDescent="0.3">
      <c r="A32" t="s">
        <v>131</v>
      </c>
      <c r="B32" t="s">
        <v>9</v>
      </c>
      <c r="C32" t="s">
        <v>109</v>
      </c>
      <c r="D32">
        <f>_xlfn.XLOOKUP(_xlfn.CONCAT(B32,C32),RENDIMIENTOS!E:E,RENDIMIENTOS!D:D,"",0)</f>
        <v>7</v>
      </c>
    </row>
    <row r="33" spans="1:4" x14ac:dyDescent="0.3">
      <c r="A33" t="s">
        <v>131</v>
      </c>
      <c r="B33" t="s">
        <v>16</v>
      </c>
      <c r="C33" t="s">
        <v>115</v>
      </c>
      <c r="D33">
        <f>_xlfn.XLOOKUP(_xlfn.CONCAT(B33,C33),RENDIMIENTOS!E:E,RENDIMIENTOS!D:D,"",0)</f>
        <v>345</v>
      </c>
    </row>
    <row r="34" spans="1:4" x14ac:dyDescent="0.3">
      <c r="A34" t="s">
        <v>131</v>
      </c>
      <c r="B34" t="s">
        <v>16</v>
      </c>
      <c r="C34" t="s">
        <v>116</v>
      </c>
      <c r="D34">
        <f>_xlfn.XLOOKUP(_xlfn.CONCAT(B34,C34),RENDIMIENTOS!E:E,RENDIMIENTOS!D:D,"",0)</f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F1F0-7D73-4318-98AD-728027CE3FD6}">
  <dimension ref="A1:D10"/>
  <sheetViews>
    <sheetView workbookViewId="0">
      <selection activeCell="A2" sqref="A2"/>
    </sheetView>
  </sheetViews>
  <sheetFormatPr baseColWidth="10" defaultRowHeight="14.4" x14ac:dyDescent="0.3"/>
  <cols>
    <col min="3" max="3" width="20.44140625" customWidth="1"/>
  </cols>
  <sheetData>
    <row r="1" spans="1:4" x14ac:dyDescent="0.3">
      <c r="A1" t="s">
        <v>130</v>
      </c>
      <c r="B1" t="s">
        <v>11</v>
      </c>
      <c r="C1" t="s">
        <v>13</v>
      </c>
      <c r="D1" t="s">
        <v>15</v>
      </c>
    </row>
    <row r="2" spans="1:4" x14ac:dyDescent="0.3">
      <c r="A2" t="s">
        <v>125</v>
      </c>
      <c r="B2" t="s">
        <v>0</v>
      </c>
      <c r="C2" t="s">
        <v>125</v>
      </c>
      <c r="D2">
        <f>_xlfn.XLOOKUP(_xlfn.CONCAT(B2,C2),RENDIMIENTOS!E:E,RENDIMIENTOS!D:D,"",0)</f>
        <v>3</v>
      </c>
    </row>
    <row r="3" spans="1:4" x14ac:dyDescent="0.3">
      <c r="A3" t="s">
        <v>125</v>
      </c>
      <c r="B3" t="s">
        <v>0</v>
      </c>
      <c r="C3" t="s">
        <v>128</v>
      </c>
      <c r="D3">
        <f>_xlfn.XLOOKUP(_xlfn.CONCAT(B3,C3),RENDIMIENTOS!E:E,RENDIMIENTOS!D:D,"",0)</f>
        <v>4</v>
      </c>
    </row>
    <row r="4" spans="1:4" x14ac:dyDescent="0.3">
      <c r="A4" t="s">
        <v>125</v>
      </c>
      <c r="B4" t="s">
        <v>0</v>
      </c>
      <c r="C4" t="s">
        <v>129</v>
      </c>
      <c r="D4">
        <f>_xlfn.XLOOKUP(_xlfn.CONCAT(B4,C4),RENDIMIENTOS!E:E,RENDIMIENTOS!D:D,"",0)</f>
        <v>3</v>
      </c>
    </row>
    <row r="5" spans="1:4" x14ac:dyDescent="0.3">
      <c r="A5" t="s">
        <v>125</v>
      </c>
      <c r="B5" t="s">
        <v>5</v>
      </c>
      <c r="C5" t="s">
        <v>125</v>
      </c>
      <c r="D5">
        <f>_xlfn.XLOOKUP(_xlfn.CONCAT(B5,C5),RENDIMIENTOS!E:E,RENDIMIENTOS!D:D,"",0)</f>
        <v>2</v>
      </c>
    </row>
    <row r="6" spans="1:4" x14ac:dyDescent="0.3">
      <c r="A6" t="s">
        <v>125</v>
      </c>
      <c r="B6" t="s">
        <v>5</v>
      </c>
      <c r="C6" t="s">
        <v>128</v>
      </c>
      <c r="D6">
        <f>_xlfn.XLOOKUP(_xlfn.CONCAT(B6,C6),RENDIMIENTOS!E:E,RENDIMIENTOS!D:D,"",0)</f>
        <v>4</v>
      </c>
    </row>
    <row r="7" spans="1:4" x14ac:dyDescent="0.3">
      <c r="A7" t="s">
        <v>125</v>
      </c>
      <c r="B7" t="s">
        <v>5</v>
      </c>
      <c r="C7" t="s">
        <v>129</v>
      </c>
      <c r="D7">
        <f>_xlfn.XLOOKUP(_xlfn.CONCAT(B7,C7),RENDIMIENTOS!E:E,RENDIMIENTOS!D:D,"",0)</f>
        <v>3</v>
      </c>
    </row>
    <row r="8" spans="1:4" x14ac:dyDescent="0.3">
      <c r="A8" t="s">
        <v>125</v>
      </c>
      <c r="B8" t="s">
        <v>7</v>
      </c>
      <c r="C8" t="s">
        <v>125</v>
      </c>
      <c r="D8">
        <f>_xlfn.XLOOKUP(_xlfn.CONCAT(B8,C8),RENDIMIENTOS!E:E,RENDIMIENTOS!D:D,"",0)</f>
        <v>3</v>
      </c>
    </row>
    <row r="9" spans="1:4" x14ac:dyDescent="0.3">
      <c r="A9" t="s">
        <v>125</v>
      </c>
      <c r="B9" t="s">
        <v>7</v>
      </c>
      <c r="C9" t="s">
        <v>126</v>
      </c>
      <c r="D9">
        <f>_xlfn.XLOOKUP(_xlfn.CONCAT(B9,C9),RENDIMIENTOS!E:E,RENDIMIENTOS!D:D,"",0)</f>
        <v>4</v>
      </c>
    </row>
    <row r="10" spans="1:4" x14ac:dyDescent="0.3">
      <c r="A10" t="s">
        <v>125</v>
      </c>
      <c r="B10" t="s">
        <v>9</v>
      </c>
      <c r="C10" t="s">
        <v>125</v>
      </c>
      <c r="D10">
        <f>_xlfn.XLOOKUP(_xlfn.CONCAT(B10,C10),RENDIMIENTOS!E:E,RENDIMIENTOS!D:D,"",0)</f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3CE5C-8762-45A5-B9ED-B8CF20ED5FD6}">
  <dimension ref="A1:D7"/>
  <sheetViews>
    <sheetView workbookViewId="0">
      <selection activeCell="A4" sqref="A4"/>
    </sheetView>
  </sheetViews>
  <sheetFormatPr baseColWidth="10" defaultRowHeight="14.4" x14ac:dyDescent="0.3"/>
  <cols>
    <col min="4" max="4" width="12.77734375" customWidth="1"/>
  </cols>
  <sheetData>
    <row r="1" spans="1:4" x14ac:dyDescent="0.3">
      <c r="A1" t="s">
        <v>130</v>
      </c>
      <c r="B1" t="s">
        <v>11</v>
      </c>
      <c r="C1" t="s">
        <v>13</v>
      </c>
      <c r="D1" t="s">
        <v>15</v>
      </c>
    </row>
    <row r="2" spans="1:4" x14ac:dyDescent="0.3">
      <c r="A2" t="s">
        <v>132</v>
      </c>
      <c r="B2" t="s">
        <v>16</v>
      </c>
      <c r="C2" t="s">
        <v>28</v>
      </c>
      <c r="D2">
        <f>_xlfn.XLOOKUP(_xlfn.CONCAT(B2,C2),RENDIMIENTOS!E:E,RENDIMIENTOS!D:D,"",0)</f>
        <v>12.8</v>
      </c>
    </row>
    <row r="3" spans="1:4" x14ac:dyDescent="0.3">
      <c r="A3" t="s">
        <v>132</v>
      </c>
      <c r="B3" t="s">
        <v>16</v>
      </c>
      <c r="C3" t="s">
        <v>29</v>
      </c>
      <c r="D3">
        <f>_xlfn.XLOOKUP(_xlfn.CONCAT(B3,C3),RENDIMIENTOS!E:E,RENDIMIENTOS!D:D,"",0)</f>
        <v>20</v>
      </c>
    </row>
    <row r="4" spans="1:4" x14ac:dyDescent="0.3">
      <c r="A4" t="s">
        <v>132</v>
      </c>
      <c r="B4" t="s">
        <v>7</v>
      </c>
      <c r="C4" t="s">
        <v>28</v>
      </c>
      <c r="D4">
        <f>_xlfn.XLOOKUP(_xlfn.CONCAT(B4,C4),RENDIMIENTOS!E:E,RENDIMIENTOS!D:D,"",0)</f>
        <v>21</v>
      </c>
    </row>
    <row r="5" spans="1:4" x14ac:dyDescent="0.3">
      <c r="A5" t="s">
        <v>132</v>
      </c>
      <c r="B5" t="s">
        <v>5</v>
      </c>
      <c r="C5" t="s">
        <v>28</v>
      </c>
      <c r="D5">
        <f>_xlfn.XLOOKUP(_xlfn.CONCAT(B5,C5),RENDIMIENTOS!E:E,RENDIMIENTOS!D:D,"",0)</f>
        <v>20</v>
      </c>
    </row>
    <row r="6" spans="1:4" x14ac:dyDescent="0.3">
      <c r="A6" t="s">
        <v>132</v>
      </c>
      <c r="B6" t="s">
        <v>0</v>
      </c>
      <c r="C6" t="s">
        <v>28</v>
      </c>
      <c r="D6">
        <f>_xlfn.XLOOKUP(_xlfn.CONCAT(B6,C6),RENDIMIENTOS!E:E,RENDIMIENTOS!D:D,"",0)</f>
        <v>20</v>
      </c>
    </row>
    <row r="7" spans="1:4" x14ac:dyDescent="0.3">
      <c r="A7" t="s">
        <v>132</v>
      </c>
      <c r="B7" t="s">
        <v>9</v>
      </c>
      <c r="C7" t="s">
        <v>28</v>
      </c>
      <c r="D7">
        <f>_xlfn.XLOOKUP(_xlfn.CONCAT(B7,C7),RENDIMIENTOS!E:E,RENDIMIENTOS!D:D,"",0)</f>
        <v>8.3333333330000006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8F42-9A97-42D7-9555-9F419B190055}">
  <dimension ref="A1:E150"/>
  <sheetViews>
    <sheetView topLeftCell="A129" workbookViewId="0">
      <selection activeCell="B150" sqref="B150"/>
    </sheetView>
  </sheetViews>
  <sheetFormatPr baseColWidth="10" defaultRowHeight="14.4" x14ac:dyDescent="0.3"/>
  <cols>
    <col min="2" max="2" width="33.77734375" customWidth="1"/>
  </cols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127</v>
      </c>
    </row>
    <row r="2" spans="1:5" x14ac:dyDescent="0.3">
      <c r="A2" t="s">
        <v>16</v>
      </c>
      <c r="B2" t="s">
        <v>17</v>
      </c>
      <c r="C2" t="s">
        <v>18</v>
      </c>
      <c r="D2">
        <v>0.6</v>
      </c>
      <c r="E2" t="str">
        <f t="shared" ref="E2:E33" si="0">_xlfn.CONCAT(A2,B2)</f>
        <v>GYPSOPHILAArmado de camas</v>
      </c>
    </row>
    <row r="3" spans="1:5" x14ac:dyDescent="0.3">
      <c r="A3" t="s">
        <v>16</v>
      </c>
      <c r="B3" t="s">
        <v>19</v>
      </c>
      <c r="C3" t="s">
        <v>18</v>
      </c>
      <c r="D3">
        <v>4</v>
      </c>
      <c r="E3" t="str">
        <f t="shared" si="0"/>
        <v>GYPSOPHILAAlzado de hombros con compost</v>
      </c>
    </row>
    <row r="4" spans="1:5" x14ac:dyDescent="0.3">
      <c r="A4" t="s">
        <v>16</v>
      </c>
      <c r="B4" t="s">
        <v>20</v>
      </c>
      <c r="C4" t="s">
        <v>18</v>
      </c>
      <c r="D4">
        <v>6</v>
      </c>
      <c r="E4" t="str">
        <f t="shared" si="0"/>
        <v>GYPSOPHILAAlzado de hombros sin compost</v>
      </c>
    </row>
    <row r="5" spans="1:5" x14ac:dyDescent="0.3">
      <c r="A5" t="s">
        <v>16</v>
      </c>
      <c r="B5" t="s">
        <v>21</v>
      </c>
      <c r="C5" t="s">
        <v>18</v>
      </c>
      <c r="D5">
        <v>8</v>
      </c>
      <c r="E5" t="str">
        <f t="shared" si="0"/>
        <v>GYPSOPHILACambio de escalerillas poda</v>
      </c>
    </row>
    <row r="6" spans="1:5" x14ac:dyDescent="0.3">
      <c r="A6" t="s">
        <v>16</v>
      </c>
      <c r="B6" t="s">
        <v>22</v>
      </c>
      <c r="C6" t="s">
        <v>18</v>
      </c>
      <c r="D6">
        <v>12</v>
      </c>
      <c r="E6" t="str">
        <f t="shared" si="0"/>
        <v>GYPSOPHILACambio de pingos poda</v>
      </c>
    </row>
    <row r="7" spans="1:5" x14ac:dyDescent="0.3">
      <c r="A7" t="s">
        <v>16</v>
      </c>
      <c r="B7" t="s">
        <v>23</v>
      </c>
      <c r="C7" t="s">
        <v>24</v>
      </c>
      <c r="D7">
        <v>3</v>
      </c>
      <c r="E7" t="str">
        <f t="shared" si="0"/>
        <v>GYPSOPHILAColocación de mallas</v>
      </c>
    </row>
    <row r="8" spans="1:5" x14ac:dyDescent="0.3">
      <c r="A8" t="s">
        <v>16</v>
      </c>
      <c r="B8" t="s">
        <v>25</v>
      </c>
      <c r="C8" t="s">
        <v>18</v>
      </c>
      <c r="D8">
        <v>5</v>
      </c>
      <c r="E8" t="str">
        <f t="shared" si="0"/>
        <v>GYPSOPHILAColocación de escalerillas</v>
      </c>
    </row>
    <row r="9" spans="1:5" x14ac:dyDescent="0.3">
      <c r="A9" t="s">
        <v>16</v>
      </c>
      <c r="B9" t="s">
        <v>26</v>
      </c>
      <c r="C9" t="s">
        <v>27</v>
      </c>
      <c r="D9">
        <v>15</v>
      </c>
      <c r="E9" t="str">
        <f t="shared" si="0"/>
        <v>GYPSOPHILAColocación de pingos</v>
      </c>
    </row>
    <row r="10" spans="1:5" x14ac:dyDescent="0.3">
      <c r="A10" t="s">
        <v>16</v>
      </c>
      <c r="B10" t="s">
        <v>28</v>
      </c>
      <c r="C10" t="s">
        <v>24</v>
      </c>
      <c r="D10">
        <v>12.8</v>
      </c>
      <c r="E10" t="str">
        <f t="shared" si="0"/>
        <v>GYPSOPHILACosecha</v>
      </c>
    </row>
    <row r="11" spans="1:5" x14ac:dyDescent="0.3">
      <c r="A11" t="s">
        <v>16</v>
      </c>
      <c r="B11" t="s">
        <v>29</v>
      </c>
      <c r="C11" t="s">
        <v>24</v>
      </c>
      <c r="D11">
        <v>20</v>
      </c>
      <c r="E11" t="str">
        <f t="shared" si="0"/>
        <v>GYPSOPHILACosecha dumps</v>
      </c>
    </row>
    <row r="12" spans="1:5" x14ac:dyDescent="0.3">
      <c r="A12" t="s">
        <v>16</v>
      </c>
      <c r="B12" t="s">
        <v>30</v>
      </c>
      <c r="C12" t="s">
        <v>31</v>
      </c>
      <c r="D12">
        <v>345</v>
      </c>
      <c r="E12" t="str">
        <f t="shared" si="0"/>
        <v>GYPSOPHILADesbrote 1</v>
      </c>
    </row>
    <row r="13" spans="1:5" x14ac:dyDescent="0.3">
      <c r="A13" t="s">
        <v>16</v>
      </c>
      <c r="B13" t="s">
        <v>32</v>
      </c>
      <c r="C13" t="s">
        <v>31</v>
      </c>
      <c r="D13">
        <v>500</v>
      </c>
      <c r="E13" t="str">
        <f t="shared" si="0"/>
        <v>GYPSOPHILADesbrote 2</v>
      </c>
    </row>
    <row r="14" spans="1:5" x14ac:dyDescent="0.3">
      <c r="A14" t="s">
        <v>16</v>
      </c>
      <c r="B14" t="s">
        <v>33</v>
      </c>
      <c r="C14" t="s">
        <v>18</v>
      </c>
      <c r="D14">
        <v>3</v>
      </c>
      <c r="E14" t="str">
        <f t="shared" si="0"/>
        <v>GYPSOPHILADesmalezado</v>
      </c>
    </row>
    <row r="15" spans="1:5" x14ac:dyDescent="0.3">
      <c r="A15" t="s">
        <v>16</v>
      </c>
      <c r="B15" t="s">
        <v>34</v>
      </c>
      <c r="C15" t="s">
        <v>31</v>
      </c>
      <c r="D15">
        <v>160</v>
      </c>
      <c r="E15" t="str">
        <f t="shared" si="0"/>
        <v>GYPSOPHILAErradicación de planta</v>
      </c>
    </row>
    <row r="16" spans="1:5" x14ac:dyDescent="0.3">
      <c r="A16" t="s">
        <v>16</v>
      </c>
      <c r="B16" t="s">
        <v>35</v>
      </c>
      <c r="C16" t="s">
        <v>18</v>
      </c>
      <c r="D16">
        <v>4</v>
      </c>
      <c r="E16" t="str">
        <f t="shared" si="0"/>
        <v>GYPSOPHILAEscarificado</v>
      </c>
    </row>
    <row r="17" spans="1:5" x14ac:dyDescent="0.3">
      <c r="A17" t="s">
        <v>16</v>
      </c>
      <c r="B17" t="s">
        <v>36</v>
      </c>
      <c r="C17" t="s">
        <v>18</v>
      </c>
      <c r="D17">
        <v>4</v>
      </c>
      <c r="E17" t="str">
        <f t="shared" si="0"/>
        <v>GYPSOPHILAIncorporación de compost</v>
      </c>
    </row>
    <row r="18" spans="1:5" x14ac:dyDescent="0.3">
      <c r="A18" t="s">
        <v>16</v>
      </c>
      <c r="B18" t="s">
        <v>37</v>
      </c>
      <c r="C18" t="s">
        <v>18</v>
      </c>
      <c r="D18">
        <v>4</v>
      </c>
      <c r="E18" t="str">
        <f t="shared" si="0"/>
        <v>GYPSOPHILAMarcado y humedad</v>
      </c>
    </row>
    <row r="19" spans="1:5" x14ac:dyDescent="0.3">
      <c r="A19" t="s">
        <v>16</v>
      </c>
      <c r="B19" t="s">
        <v>38</v>
      </c>
      <c r="C19" t="s">
        <v>18</v>
      </c>
      <c r="D19">
        <v>5</v>
      </c>
      <c r="E19" t="str">
        <f t="shared" si="0"/>
        <v>GYPSOPHILATrinchado</v>
      </c>
    </row>
    <row r="20" spans="1:5" x14ac:dyDescent="0.3">
      <c r="A20" t="s">
        <v>16</v>
      </c>
      <c r="B20" t="s">
        <v>39</v>
      </c>
      <c r="C20" t="s">
        <v>18</v>
      </c>
      <c r="D20">
        <v>2</v>
      </c>
      <c r="E20" t="str">
        <f t="shared" si="0"/>
        <v>GYPSOPHILAPinch</v>
      </c>
    </row>
    <row r="21" spans="1:5" x14ac:dyDescent="0.3">
      <c r="A21" t="s">
        <v>16</v>
      </c>
      <c r="B21" t="s">
        <v>40</v>
      </c>
      <c r="C21" t="s">
        <v>31</v>
      </c>
      <c r="D21">
        <v>500</v>
      </c>
      <c r="E21" t="str">
        <f t="shared" si="0"/>
        <v>GYPSOPHILAPoda</v>
      </c>
    </row>
    <row r="22" spans="1:5" x14ac:dyDescent="0.3">
      <c r="A22" t="s">
        <v>16</v>
      </c>
      <c r="B22" t="s">
        <v>41</v>
      </c>
      <c r="C22" t="s">
        <v>31</v>
      </c>
      <c r="D22">
        <v>700</v>
      </c>
      <c r="E22" t="str">
        <f t="shared" si="0"/>
        <v>GYPSOPHILARaleo</v>
      </c>
    </row>
    <row r="23" spans="1:5" x14ac:dyDescent="0.3">
      <c r="A23" t="s">
        <v>16</v>
      </c>
      <c r="B23" t="s">
        <v>42</v>
      </c>
      <c r="C23" t="s">
        <v>18</v>
      </c>
      <c r="D23">
        <v>5</v>
      </c>
      <c r="E23" t="str">
        <f t="shared" si="0"/>
        <v>GYPSOPHILARetejido bloques poda</v>
      </c>
    </row>
    <row r="24" spans="1:5" x14ac:dyDescent="0.3">
      <c r="A24" t="s">
        <v>16</v>
      </c>
      <c r="B24" t="s">
        <v>43</v>
      </c>
      <c r="C24" t="s">
        <v>31</v>
      </c>
      <c r="D24">
        <v>700</v>
      </c>
      <c r="E24" t="str">
        <f t="shared" si="0"/>
        <v>GYPSOPHILASiembra</v>
      </c>
    </row>
    <row r="25" spans="1:5" x14ac:dyDescent="0.3">
      <c r="A25" t="s">
        <v>16</v>
      </c>
      <c r="B25" t="s">
        <v>44</v>
      </c>
      <c r="C25" t="s">
        <v>18</v>
      </c>
      <c r="D25">
        <v>8</v>
      </c>
      <c r="E25" t="str">
        <f t="shared" si="0"/>
        <v>GYPSOPHILASoft Pinch / Vegetativo</v>
      </c>
    </row>
    <row r="26" spans="1:5" x14ac:dyDescent="0.3">
      <c r="A26" t="s">
        <v>16</v>
      </c>
      <c r="B26" t="s">
        <v>45</v>
      </c>
      <c r="C26" t="s">
        <v>18</v>
      </c>
      <c r="D26">
        <v>0.9</v>
      </c>
      <c r="E26" t="str">
        <f t="shared" si="0"/>
        <v>GYPSOPHILATejido nuevo</v>
      </c>
    </row>
    <row r="27" spans="1:5" x14ac:dyDescent="0.3">
      <c r="A27" t="s">
        <v>16</v>
      </c>
      <c r="B27" t="s">
        <v>46</v>
      </c>
      <c r="C27" t="s">
        <v>18</v>
      </c>
      <c r="D27">
        <v>5</v>
      </c>
      <c r="E27" t="str">
        <f t="shared" si="0"/>
        <v>GYPSOPHILATejido viejo</v>
      </c>
    </row>
    <row r="28" spans="1:5" x14ac:dyDescent="0.3">
      <c r="A28" t="s">
        <v>16</v>
      </c>
      <c r="B28" t="s">
        <v>47</v>
      </c>
      <c r="C28" t="s">
        <v>18</v>
      </c>
      <c r="D28">
        <v>6</v>
      </c>
      <c r="E28" t="str">
        <f t="shared" si="0"/>
        <v>GYPSOPHILARetiro de tirasavia</v>
      </c>
    </row>
    <row r="29" spans="1:5" x14ac:dyDescent="0.3">
      <c r="A29" t="s">
        <v>16</v>
      </c>
      <c r="B29" t="s">
        <v>48</v>
      </c>
      <c r="C29" t="s">
        <v>18</v>
      </c>
      <c r="D29">
        <v>1</v>
      </c>
      <c r="E29" t="str">
        <f t="shared" si="0"/>
        <v>GYPSOPHILATumba</v>
      </c>
    </row>
    <row r="30" spans="1:5" x14ac:dyDescent="0.3">
      <c r="A30" t="s">
        <v>16</v>
      </c>
      <c r="B30" t="s">
        <v>49</v>
      </c>
      <c r="C30" t="s">
        <v>18</v>
      </c>
      <c r="D30">
        <v>6</v>
      </c>
      <c r="E30" t="str">
        <f t="shared" si="0"/>
        <v>GYPSOPHILATutoreo</v>
      </c>
    </row>
    <row r="31" spans="1:5" x14ac:dyDescent="0.3">
      <c r="A31" t="s">
        <v>7</v>
      </c>
      <c r="B31" t="s">
        <v>17</v>
      </c>
      <c r="C31" t="s">
        <v>18</v>
      </c>
      <c r="D31">
        <v>0.6</v>
      </c>
      <c r="E31" t="str">
        <f t="shared" si="0"/>
        <v>HYPERICUMArmado de camas</v>
      </c>
    </row>
    <row r="32" spans="1:5" x14ac:dyDescent="0.3">
      <c r="A32" t="s">
        <v>7</v>
      </c>
      <c r="B32" t="s">
        <v>50</v>
      </c>
      <c r="C32" t="s">
        <v>18</v>
      </c>
      <c r="D32">
        <v>4</v>
      </c>
      <c r="E32" t="str">
        <f t="shared" si="0"/>
        <v>HYPERICUMAlzado de hombros</v>
      </c>
    </row>
    <row r="33" spans="1:5" x14ac:dyDescent="0.3">
      <c r="A33" t="s">
        <v>7</v>
      </c>
      <c r="B33" t="s">
        <v>51</v>
      </c>
      <c r="C33" t="s">
        <v>18</v>
      </c>
      <c r="D33">
        <v>1.5</v>
      </c>
      <c r="E33" t="str">
        <f t="shared" si="0"/>
        <v>HYPERICUMBasaleo</v>
      </c>
    </row>
    <row r="34" spans="1:5" x14ac:dyDescent="0.3">
      <c r="A34" t="s">
        <v>7</v>
      </c>
      <c r="B34" t="s">
        <v>23</v>
      </c>
      <c r="C34" t="s">
        <v>18</v>
      </c>
      <c r="D34">
        <v>3</v>
      </c>
      <c r="E34" t="str">
        <f t="shared" ref="E34:E65" si="1">_xlfn.CONCAT(A34,B34)</f>
        <v>HYPERICUMColocación de mallas</v>
      </c>
    </row>
    <row r="35" spans="1:5" x14ac:dyDescent="0.3">
      <c r="A35" t="s">
        <v>7</v>
      </c>
      <c r="B35" t="s">
        <v>52</v>
      </c>
      <c r="C35" t="s">
        <v>18</v>
      </c>
      <c r="D35">
        <v>6</v>
      </c>
      <c r="E35" t="str">
        <f t="shared" si="1"/>
        <v>HYPERICUMColocación de alambre</v>
      </c>
    </row>
    <row r="36" spans="1:5" x14ac:dyDescent="0.3">
      <c r="A36" t="s">
        <v>7</v>
      </c>
      <c r="B36" t="s">
        <v>25</v>
      </c>
      <c r="C36" t="s">
        <v>18</v>
      </c>
      <c r="D36">
        <v>5</v>
      </c>
      <c r="E36" t="str">
        <f t="shared" si="1"/>
        <v>HYPERICUMColocación de escalerillas</v>
      </c>
    </row>
    <row r="37" spans="1:5" x14ac:dyDescent="0.3">
      <c r="A37" t="s">
        <v>7</v>
      </c>
      <c r="B37" t="s">
        <v>26</v>
      </c>
      <c r="C37" t="s">
        <v>27</v>
      </c>
      <c r="D37">
        <v>15</v>
      </c>
      <c r="E37" t="str">
        <f t="shared" si="1"/>
        <v>HYPERICUMColocación de pingos</v>
      </c>
    </row>
    <row r="38" spans="1:5" x14ac:dyDescent="0.3">
      <c r="A38" t="s">
        <v>7</v>
      </c>
      <c r="B38" t="s">
        <v>28</v>
      </c>
      <c r="C38" t="s">
        <v>24</v>
      </c>
      <c r="D38">
        <v>21</v>
      </c>
      <c r="E38" t="str">
        <f t="shared" si="1"/>
        <v>HYPERICUMCosecha</v>
      </c>
    </row>
    <row r="39" spans="1:5" x14ac:dyDescent="0.3">
      <c r="A39" t="s">
        <v>7</v>
      </c>
      <c r="B39" t="s">
        <v>53</v>
      </c>
      <c r="C39" t="s">
        <v>24</v>
      </c>
      <c r="D39">
        <v>315</v>
      </c>
      <c r="E39" t="str">
        <f t="shared" si="1"/>
        <v>HYPERICUMMalleros</v>
      </c>
    </row>
    <row r="40" spans="1:5" x14ac:dyDescent="0.3">
      <c r="A40" t="s">
        <v>7</v>
      </c>
      <c r="B40" t="s">
        <v>54</v>
      </c>
      <c r="C40" t="s">
        <v>18</v>
      </c>
      <c r="D40">
        <v>3.5</v>
      </c>
      <c r="E40" t="str">
        <f t="shared" si="1"/>
        <v>HYPERICUMEncalado</v>
      </c>
    </row>
    <row r="41" spans="1:5" x14ac:dyDescent="0.3">
      <c r="A41" t="s">
        <v>7</v>
      </c>
      <c r="B41" t="s">
        <v>30</v>
      </c>
      <c r="C41" t="s">
        <v>31</v>
      </c>
      <c r="D41">
        <v>550</v>
      </c>
      <c r="E41" t="str">
        <f t="shared" si="1"/>
        <v>HYPERICUMDesbrote 1</v>
      </c>
    </row>
    <row r="42" spans="1:5" x14ac:dyDescent="0.3">
      <c r="A42" t="s">
        <v>7</v>
      </c>
      <c r="B42" t="s">
        <v>55</v>
      </c>
      <c r="C42" t="s">
        <v>31</v>
      </c>
      <c r="D42">
        <v>1000</v>
      </c>
      <c r="E42" t="str">
        <f t="shared" si="1"/>
        <v>HYPERICUMDesbrote 3</v>
      </c>
    </row>
    <row r="43" spans="1:5" x14ac:dyDescent="0.3">
      <c r="A43" t="s">
        <v>7</v>
      </c>
      <c r="B43" t="s">
        <v>56</v>
      </c>
      <c r="C43" t="s">
        <v>31</v>
      </c>
      <c r="D43">
        <v>1500</v>
      </c>
      <c r="E43" t="str">
        <f t="shared" si="1"/>
        <v>HYPERICUMDesbrote 4</v>
      </c>
    </row>
    <row r="44" spans="1:5" x14ac:dyDescent="0.3">
      <c r="A44" t="s">
        <v>7</v>
      </c>
      <c r="B44" t="s">
        <v>32</v>
      </c>
      <c r="C44" t="s">
        <v>31</v>
      </c>
      <c r="D44">
        <v>650</v>
      </c>
      <c r="E44" t="str">
        <f t="shared" si="1"/>
        <v>HYPERICUMDesbrote 2</v>
      </c>
    </row>
    <row r="45" spans="1:5" x14ac:dyDescent="0.3">
      <c r="A45" t="s">
        <v>7</v>
      </c>
      <c r="B45" t="s">
        <v>33</v>
      </c>
      <c r="C45" t="s">
        <v>18</v>
      </c>
      <c r="D45">
        <v>3</v>
      </c>
      <c r="E45" t="str">
        <f t="shared" si="1"/>
        <v>HYPERICUMDesmalezado</v>
      </c>
    </row>
    <row r="46" spans="1:5" x14ac:dyDescent="0.3">
      <c r="A46" t="s">
        <v>7</v>
      </c>
      <c r="B46" t="s">
        <v>38</v>
      </c>
      <c r="C46" t="s">
        <v>31</v>
      </c>
      <c r="D46">
        <v>5</v>
      </c>
      <c r="E46" t="str">
        <f t="shared" si="1"/>
        <v>HYPERICUMTrinchado</v>
      </c>
    </row>
    <row r="47" spans="1:5" x14ac:dyDescent="0.3">
      <c r="A47" t="s">
        <v>7</v>
      </c>
      <c r="B47" t="s">
        <v>35</v>
      </c>
      <c r="C47" t="s">
        <v>18</v>
      </c>
      <c r="D47">
        <v>4</v>
      </c>
      <c r="E47" t="str">
        <f t="shared" si="1"/>
        <v>HYPERICUMEscarificado</v>
      </c>
    </row>
    <row r="48" spans="1:5" x14ac:dyDescent="0.3">
      <c r="A48" t="s">
        <v>7</v>
      </c>
      <c r="B48" t="s">
        <v>57</v>
      </c>
      <c r="C48" t="s">
        <v>18</v>
      </c>
      <c r="D48">
        <v>8</v>
      </c>
      <c r="E48" t="str">
        <f t="shared" si="1"/>
        <v>HYPERICUMGuiado / Peinado</v>
      </c>
    </row>
    <row r="49" spans="1:5" x14ac:dyDescent="0.3">
      <c r="A49" t="s">
        <v>7</v>
      </c>
      <c r="B49" t="s">
        <v>39</v>
      </c>
      <c r="C49" t="s">
        <v>31</v>
      </c>
      <c r="D49">
        <v>2500</v>
      </c>
      <c r="E49" t="str">
        <f t="shared" si="1"/>
        <v>HYPERICUMPinch</v>
      </c>
    </row>
    <row r="50" spans="1:5" x14ac:dyDescent="0.3">
      <c r="A50" t="s">
        <v>7</v>
      </c>
      <c r="B50" t="s">
        <v>58</v>
      </c>
      <c r="C50" t="s">
        <v>31</v>
      </c>
      <c r="D50">
        <v>500</v>
      </c>
      <c r="E50" t="str">
        <f t="shared" si="1"/>
        <v>HYPERICUMPoda con Tijera</v>
      </c>
    </row>
    <row r="51" spans="1:5" x14ac:dyDescent="0.3">
      <c r="A51" t="s">
        <v>7</v>
      </c>
      <c r="B51" t="s">
        <v>59</v>
      </c>
      <c r="C51" t="s">
        <v>18</v>
      </c>
      <c r="D51">
        <v>10</v>
      </c>
      <c r="E51" t="str">
        <f t="shared" si="1"/>
        <v>HYPERICUMSacudido</v>
      </c>
    </row>
    <row r="52" spans="1:5" x14ac:dyDescent="0.3">
      <c r="A52" t="s">
        <v>7</v>
      </c>
      <c r="B52" t="s">
        <v>60</v>
      </c>
      <c r="C52" t="s">
        <v>31</v>
      </c>
      <c r="D52">
        <v>1000</v>
      </c>
      <c r="E52" t="str">
        <f t="shared" si="1"/>
        <v>HYPERICUMPreparado de cama</v>
      </c>
    </row>
    <row r="53" spans="1:5" x14ac:dyDescent="0.3">
      <c r="A53" t="s">
        <v>7</v>
      </c>
      <c r="B53" t="s">
        <v>61</v>
      </c>
      <c r="C53" t="s">
        <v>31</v>
      </c>
      <c r="D53">
        <v>525</v>
      </c>
      <c r="E53" t="str">
        <f t="shared" si="1"/>
        <v>HYPERICUMRaleo poda / Selección</v>
      </c>
    </row>
    <row r="54" spans="1:5" x14ac:dyDescent="0.3">
      <c r="A54" t="s">
        <v>7</v>
      </c>
      <c r="B54" t="s">
        <v>62</v>
      </c>
      <c r="C54" t="s">
        <v>31</v>
      </c>
      <c r="D54">
        <v>900</v>
      </c>
      <c r="E54" t="str">
        <f t="shared" si="1"/>
        <v>HYPERICUMRaleo siembra / Selección</v>
      </c>
    </row>
    <row r="55" spans="1:5" x14ac:dyDescent="0.3">
      <c r="A55" t="s">
        <v>7</v>
      </c>
      <c r="B55" t="s">
        <v>63</v>
      </c>
      <c r="C55" t="s">
        <v>18</v>
      </c>
      <c r="D55">
        <v>1</v>
      </c>
      <c r="E55" t="str">
        <f t="shared" si="1"/>
        <v>HYPERICUMSacado de hoja</v>
      </c>
    </row>
    <row r="56" spans="1:5" x14ac:dyDescent="0.3">
      <c r="A56" t="s">
        <v>7</v>
      </c>
      <c r="B56" t="s">
        <v>43</v>
      </c>
      <c r="C56" t="s">
        <v>31</v>
      </c>
      <c r="D56">
        <v>1000</v>
      </c>
      <c r="E56" t="str">
        <f t="shared" si="1"/>
        <v>HYPERICUMSiembra</v>
      </c>
    </row>
    <row r="57" spans="1:5" x14ac:dyDescent="0.3">
      <c r="A57" t="s">
        <v>7</v>
      </c>
      <c r="B57" t="s">
        <v>64</v>
      </c>
      <c r="C57" t="s">
        <v>18</v>
      </c>
      <c r="D57">
        <v>25</v>
      </c>
      <c r="E57" t="str">
        <f t="shared" si="1"/>
        <v>HYPERICUMSopladora</v>
      </c>
    </row>
    <row r="58" spans="1:5" x14ac:dyDescent="0.3">
      <c r="A58" t="s">
        <v>7</v>
      </c>
      <c r="B58" t="s">
        <v>46</v>
      </c>
      <c r="C58" t="s">
        <v>18</v>
      </c>
      <c r="D58">
        <v>4</v>
      </c>
      <c r="E58" t="str">
        <f t="shared" si="1"/>
        <v>HYPERICUMTejido viejo</v>
      </c>
    </row>
    <row r="59" spans="1:5" x14ac:dyDescent="0.3">
      <c r="A59" t="s">
        <v>7</v>
      </c>
      <c r="B59" t="s">
        <v>48</v>
      </c>
      <c r="C59" t="s">
        <v>18</v>
      </c>
      <c r="D59">
        <v>3</v>
      </c>
      <c r="E59" t="str">
        <f t="shared" si="1"/>
        <v>HYPERICUMTumba</v>
      </c>
    </row>
    <row r="60" spans="1:5" x14ac:dyDescent="0.3">
      <c r="A60" t="s">
        <v>7</v>
      </c>
      <c r="B60" t="s">
        <v>49</v>
      </c>
      <c r="C60" t="s">
        <v>18</v>
      </c>
      <c r="D60">
        <v>6</v>
      </c>
      <c r="E60" t="str">
        <f t="shared" si="1"/>
        <v>HYPERICUMTutoreo</v>
      </c>
    </row>
    <row r="61" spans="1:5" x14ac:dyDescent="0.3">
      <c r="A61" t="s">
        <v>5</v>
      </c>
      <c r="B61" t="s">
        <v>50</v>
      </c>
      <c r="C61" t="s">
        <v>18</v>
      </c>
      <c r="D61">
        <v>4</v>
      </c>
      <c r="E61" t="str">
        <f t="shared" si="1"/>
        <v>VERONICAAlzado de hombros</v>
      </c>
    </row>
    <row r="62" spans="1:5" x14ac:dyDescent="0.3">
      <c r="A62" t="s">
        <v>5</v>
      </c>
      <c r="B62" t="s">
        <v>65</v>
      </c>
      <c r="C62" t="s">
        <v>18</v>
      </c>
      <c r="D62">
        <v>3</v>
      </c>
      <c r="E62" t="str">
        <f t="shared" si="1"/>
        <v>VERONICABajado de mallas</v>
      </c>
    </row>
    <row r="63" spans="1:5" x14ac:dyDescent="0.3">
      <c r="A63" t="s">
        <v>5</v>
      </c>
      <c r="B63" t="s">
        <v>51</v>
      </c>
      <c r="C63" t="s">
        <v>18</v>
      </c>
      <c r="D63">
        <v>2</v>
      </c>
      <c r="E63" t="str">
        <f t="shared" si="1"/>
        <v>VERONICABasaleo</v>
      </c>
    </row>
    <row r="64" spans="1:5" x14ac:dyDescent="0.3">
      <c r="A64" t="s">
        <v>5</v>
      </c>
      <c r="B64" t="s">
        <v>66</v>
      </c>
      <c r="C64" t="s">
        <v>18</v>
      </c>
      <c r="D64">
        <v>0.5</v>
      </c>
      <c r="E64" t="str">
        <f t="shared" si="1"/>
        <v>VERONICABasaleo y bajado de hoja</v>
      </c>
    </row>
    <row r="65" spans="1:5" x14ac:dyDescent="0.3">
      <c r="A65" t="s">
        <v>5</v>
      </c>
      <c r="B65" t="s">
        <v>67</v>
      </c>
      <c r="C65" t="s">
        <v>18</v>
      </c>
      <c r="D65">
        <v>0.6</v>
      </c>
      <c r="E65" t="str">
        <f t="shared" si="1"/>
        <v>VERONICAAlzado de camas</v>
      </c>
    </row>
    <row r="66" spans="1:5" x14ac:dyDescent="0.3">
      <c r="A66" t="s">
        <v>5</v>
      </c>
      <c r="B66" t="s">
        <v>17</v>
      </c>
      <c r="C66" t="s">
        <v>18</v>
      </c>
      <c r="D66">
        <v>1</v>
      </c>
      <c r="E66" t="str">
        <f t="shared" ref="E66:E97" si="2">_xlfn.CONCAT(A66,B66)</f>
        <v>VERONICAArmado de camas</v>
      </c>
    </row>
    <row r="67" spans="1:5" x14ac:dyDescent="0.3">
      <c r="A67" t="s">
        <v>5</v>
      </c>
      <c r="B67" t="s">
        <v>21</v>
      </c>
      <c r="C67" t="s">
        <v>18</v>
      </c>
      <c r="D67">
        <v>8</v>
      </c>
      <c r="E67" t="str">
        <f t="shared" si="2"/>
        <v>VERONICACambio de escalerillas poda</v>
      </c>
    </row>
    <row r="68" spans="1:5" x14ac:dyDescent="0.3">
      <c r="A68" t="s">
        <v>5</v>
      </c>
      <c r="B68" t="s">
        <v>22</v>
      </c>
      <c r="C68" t="s">
        <v>27</v>
      </c>
      <c r="D68">
        <v>12</v>
      </c>
      <c r="E68" t="str">
        <f t="shared" si="2"/>
        <v>VERONICACambio de pingos poda</v>
      </c>
    </row>
    <row r="69" spans="1:5" x14ac:dyDescent="0.3">
      <c r="A69" t="s">
        <v>5</v>
      </c>
      <c r="B69" t="s">
        <v>25</v>
      </c>
      <c r="C69" t="s">
        <v>18</v>
      </c>
      <c r="D69">
        <v>5</v>
      </c>
      <c r="E69" t="str">
        <f t="shared" si="2"/>
        <v>VERONICAColocación de escalerillas</v>
      </c>
    </row>
    <row r="70" spans="1:5" x14ac:dyDescent="0.3">
      <c r="A70" t="s">
        <v>5</v>
      </c>
      <c r="B70" t="s">
        <v>23</v>
      </c>
      <c r="C70" t="s">
        <v>24</v>
      </c>
      <c r="D70">
        <v>3</v>
      </c>
      <c r="E70" t="str">
        <f t="shared" si="2"/>
        <v>VERONICAColocación de mallas</v>
      </c>
    </row>
    <row r="71" spans="1:5" x14ac:dyDescent="0.3">
      <c r="A71" t="s">
        <v>5</v>
      </c>
      <c r="B71" t="s">
        <v>26</v>
      </c>
      <c r="C71" t="s">
        <v>27</v>
      </c>
      <c r="D71">
        <v>15</v>
      </c>
      <c r="E71" t="str">
        <f t="shared" si="2"/>
        <v>VERONICAColocación de pingos</v>
      </c>
    </row>
    <row r="72" spans="1:5" x14ac:dyDescent="0.3">
      <c r="A72" t="s">
        <v>5</v>
      </c>
      <c r="B72" t="s">
        <v>28</v>
      </c>
      <c r="C72" t="s">
        <v>24</v>
      </c>
      <c r="D72">
        <v>20</v>
      </c>
      <c r="E72" t="str">
        <f t="shared" si="2"/>
        <v>VERONICACosecha</v>
      </c>
    </row>
    <row r="73" spans="1:5" x14ac:dyDescent="0.3">
      <c r="A73" t="s">
        <v>5</v>
      </c>
      <c r="B73" t="s">
        <v>53</v>
      </c>
      <c r="C73" t="s">
        <v>24</v>
      </c>
      <c r="D73">
        <v>126</v>
      </c>
      <c r="E73" t="str">
        <f t="shared" si="2"/>
        <v>VERONICAMalleros</v>
      </c>
    </row>
    <row r="74" spans="1:5" x14ac:dyDescent="0.3">
      <c r="A74" t="s">
        <v>5</v>
      </c>
      <c r="B74" t="s">
        <v>33</v>
      </c>
      <c r="C74" t="s">
        <v>18</v>
      </c>
      <c r="D74">
        <v>2</v>
      </c>
      <c r="E74" t="str">
        <f t="shared" si="2"/>
        <v>VERONICADesmalezado</v>
      </c>
    </row>
    <row r="75" spans="1:5" x14ac:dyDescent="0.3">
      <c r="A75" t="s">
        <v>5</v>
      </c>
      <c r="B75" t="s">
        <v>34</v>
      </c>
      <c r="C75" t="s">
        <v>31</v>
      </c>
      <c r="D75">
        <v>200</v>
      </c>
      <c r="E75" t="str">
        <f t="shared" si="2"/>
        <v>VERONICAErradicación de planta</v>
      </c>
    </row>
    <row r="76" spans="1:5" x14ac:dyDescent="0.3">
      <c r="A76" t="s">
        <v>5</v>
      </c>
      <c r="B76" t="s">
        <v>68</v>
      </c>
      <c r="C76" t="s">
        <v>18</v>
      </c>
      <c r="D76">
        <v>4</v>
      </c>
      <c r="E76" t="str">
        <f t="shared" si="2"/>
        <v>VERONICAEscarif. Siem</v>
      </c>
    </row>
    <row r="77" spans="1:5" x14ac:dyDescent="0.3">
      <c r="A77" t="s">
        <v>5</v>
      </c>
      <c r="B77" t="s">
        <v>69</v>
      </c>
      <c r="C77" t="s">
        <v>18</v>
      </c>
      <c r="D77">
        <v>3</v>
      </c>
      <c r="E77" t="str">
        <f t="shared" si="2"/>
        <v>VERONICAEscarif. Poda</v>
      </c>
    </row>
    <row r="78" spans="1:5" x14ac:dyDescent="0.3">
      <c r="A78" t="s">
        <v>5</v>
      </c>
      <c r="B78" t="s">
        <v>57</v>
      </c>
      <c r="C78" t="s">
        <v>18</v>
      </c>
      <c r="D78">
        <v>6</v>
      </c>
      <c r="E78" t="str">
        <f t="shared" si="2"/>
        <v>VERONICAGuiado / Peinado</v>
      </c>
    </row>
    <row r="79" spans="1:5" x14ac:dyDescent="0.3">
      <c r="A79" t="s">
        <v>5</v>
      </c>
      <c r="B79" t="s">
        <v>39</v>
      </c>
      <c r="C79" t="s">
        <v>31</v>
      </c>
      <c r="D79">
        <v>2500</v>
      </c>
      <c r="E79" t="str">
        <f t="shared" si="2"/>
        <v>VERONICAPinch</v>
      </c>
    </row>
    <row r="80" spans="1:5" x14ac:dyDescent="0.3">
      <c r="A80" t="s">
        <v>5</v>
      </c>
      <c r="B80" t="s">
        <v>70</v>
      </c>
      <c r="C80" t="s">
        <v>18</v>
      </c>
      <c r="D80">
        <v>2</v>
      </c>
      <c r="E80" t="str">
        <f t="shared" si="2"/>
        <v>VERONICAPinch Flor</v>
      </c>
    </row>
    <row r="81" spans="1:5" x14ac:dyDescent="0.3">
      <c r="A81" t="s">
        <v>5</v>
      </c>
      <c r="B81" t="s">
        <v>71</v>
      </c>
      <c r="C81" t="s">
        <v>31</v>
      </c>
      <c r="D81">
        <v>500</v>
      </c>
      <c r="E81" t="str">
        <f t="shared" si="2"/>
        <v>VERONICAPoda tijera</v>
      </c>
    </row>
    <row r="82" spans="1:5" x14ac:dyDescent="0.3">
      <c r="A82" t="s">
        <v>5</v>
      </c>
      <c r="B82" t="s">
        <v>72</v>
      </c>
      <c r="C82" t="s">
        <v>18</v>
      </c>
      <c r="D82">
        <v>2</v>
      </c>
      <c r="E82" t="str">
        <f t="shared" si="2"/>
        <v xml:space="preserve">VERONICAPoda guadañado </v>
      </c>
    </row>
    <row r="83" spans="1:5" x14ac:dyDescent="0.3">
      <c r="A83" t="s">
        <v>5</v>
      </c>
      <c r="B83" t="s">
        <v>61</v>
      </c>
      <c r="C83" t="s">
        <v>31</v>
      </c>
      <c r="D83">
        <v>350</v>
      </c>
      <c r="E83" t="str">
        <f t="shared" si="2"/>
        <v>VERONICARaleo poda / Selección</v>
      </c>
    </row>
    <row r="84" spans="1:5" x14ac:dyDescent="0.3">
      <c r="A84" t="s">
        <v>5</v>
      </c>
      <c r="B84" t="s">
        <v>62</v>
      </c>
      <c r="C84" t="s">
        <v>31</v>
      </c>
      <c r="D84">
        <v>500</v>
      </c>
      <c r="E84" t="str">
        <f t="shared" si="2"/>
        <v>VERONICARaleo siembra / Selección</v>
      </c>
    </row>
    <row r="85" spans="1:5" x14ac:dyDescent="0.3">
      <c r="A85" t="s">
        <v>5</v>
      </c>
      <c r="B85" t="s">
        <v>73</v>
      </c>
      <c r="C85" t="s">
        <v>18</v>
      </c>
      <c r="D85">
        <v>0.6</v>
      </c>
      <c r="E85" t="str">
        <f t="shared" si="2"/>
        <v xml:space="preserve">VERONICASacado de hoja </v>
      </c>
    </row>
    <row r="86" spans="1:5" x14ac:dyDescent="0.3">
      <c r="A86" t="s">
        <v>5</v>
      </c>
      <c r="B86" t="s">
        <v>38</v>
      </c>
      <c r="C86" t="s">
        <v>18</v>
      </c>
      <c r="D86">
        <v>4</v>
      </c>
      <c r="E86" t="str">
        <f t="shared" si="2"/>
        <v>VERONICATrinchado</v>
      </c>
    </row>
    <row r="87" spans="1:5" x14ac:dyDescent="0.3">
      <c r="A87" t="s">
        <v>5</v>
      </c>
      <c r="B87" t="s">
        <v>43</v>
      </c>
      <c r="C87" t="s">
        <v>31</v>
      </c>
      <c r="D87">
        <v>1000</v>
      </c>
      <c r="E87" t="str">
        <f t="shared" si="2"/>
        <v>VERONICASiembra</v>
      </c>
    </row>
    <row r="88" spans="1:5" x14ac:dyDescent="0.3">
      <c r="A88" t="s">
        <v>5</v>
      </c>
      <c r="B88" t="s">
        <v>46</v>
      </c>
      <c r="C88" t="s">
        <v>18</v>
      </c>
      <c r="D88">
        <v>6</v>
      </c>
      <c r="E88" t="str">
        <f t="shared" si="2"/>
        <v>VERONICATejido viejo</v>
      </c>
    </row>
    <row r="89" spans="1:5" x14ac:dyDescent="0.3">
      <c r="A89" t="s">
        <v>5</v>
      </c>
      <c r="B89" t="s">
        <v>48</v>
      </c>
      <c r="C89" t="s">
        <v>18</v>
      </c>
      <c r="D89">
        <v>3</v>
      </c>
      <c r="E89" t="str">
        <f t="shared" si="2"/>
        <v>VERONICATumba</v>
      </c>
    </row>
    <row r="90" spans="1:5" x14ac:dyDescent="0.3">
      <c r="A90" t="s">
        <v>5</v>
      </c>
      <c r="B90" t="s">
        <v>49</v>
      </c>
      <c r="C90" t="s">
        <v>18</v>
      </c>
      <c r="D90">
        <v>6</v>
      </c>
      <c r="E90" t="str">
        <f t="shared" si="2"/>
        <v>VERONICATutoreo</v>
      </c>
    </row>
    <row r="91" spans="1:5" x14ac:dyDescent="0.3">
      <c r="A91" t="s">
        <v>0</v>
      </c>
      <c r="B91" t="s">
        <v>17</v>
      </c>
      <c r="C91" t="s">
        <v>18</v>
      </c>
      <c r="D91">
        <v>0.6</v>
      </c>
      <c r="E91" t="str">
        <f t="shared" si="2"/>
        <v>SOLIDAGOArmado de camas</v>
      </c>
    </row>
    <row r="92" spans="1:5" x14ac:dyDescent="0.3">
      <c r="A92" t="s">
        <v>0</v>
      </c>
      <c r="B92" t="s">
        <v>19</v>
      </c>
      <c r="C92" t="s">
        <v>18</v>
      </c>
      <c r="D92">
        <v>4</v>
      </c>
      <c r="E92" t="str">
        <f t="shared" si="2"/>
        <v>SOLIDAGOAlzado de hombros con compost</v>
      </c>
    </row>
    <row r="93" spans="1:5" x14ac:dyDescent="0.3">
      <c r="A93" t="s">
        <v>0</v>
      </c>
      <c r="B93" t="s">
        <v>20</v>
      </c>
      <c r="C93" t="s">
        <v>18</v>
      </c>
      <c r="D93">
        <v>6</v>
      </c>
      <c r="E93" t="str">
        <f t="shared" si="2"/>
        <v>SOLIDAGOAlzado de hombros sin compost</v>
      </c>
    </row>
    <row r="94" spans="1:5" x14ac:dyDescent="0.3">
      <c r="A94" t="s">
        <v>0</v>
      </c>
      <c r="B94" t="s">
        <v>21</v>
      </c>
      <c r="C94" t="s">
        <v>18</v>
      </c>
      <c r="D94">
        <v>5</v>
      </c>
      <c r="E94" t="str">
        <f t="shared" si="2"/>
        <v>SOLIDAGOCambio de escalerillas poda</v>
      </c>
    </row>
    <row r="95" spans="1:5" x14ac:dyDescent="0.3">
      <c r="A95" t="s">
        <v>0</v>
      </c>
      <c r="B95" t="s">
        <v>22</v>
      </c>
      <c r="C95" t="s">
        <v>18</v>
      </c>
      <c r="D95">
        <v>15</v>
      </c>
      <c r="E95" t="str">
        <f t="shared" si="2"/>
        <v>SOLIDAGOCambio de pingos poda</v>
      </c>
    </row>
    <row r="96" spans="1:5" x14ac:dyDescent="0.3">
      <c r="A96" t="s">
        <v>0</v>
      </c>
      <c r="B96" t="s">
        <v>52</v>
      </c>
      <c r="C96" t="s">
        <v>18</v>
      </c>
      <c r="D96">
        <v>6</v>
      </c>
      <c r="E96" t="str">
        <f t="shared" si="2"/>
        <v>SOLIDAGOColocación de alambre</v>
      </c>
    </row>
    <row r="97" spans="1:5" x14ac:dyDescent="0.3">
      <c r="A97" t="s">
        <v>0</v>
      </c>
      <c r="B97" t="s">
        <v>23</v>
      </c>
      <c r="C97" t="s">
        <v>24</v>
      </c>
      <c r="D97">
        <v>3</v>
      </c>
      <c r="E97" t="str">
        <f t="shared" si="2"/>
        <v>SOLIDAGOColocación de mallas</v>
      </c>
    </row>
    <row r="98" spans="1:5" x14ac:dyDescent="0.3">
      <c r="A98" t="s">
        <v>0</v>
      </c>
      <c r="B98" t="s">
        <v>26</v>
      </c>
      <c r="C98" t="s">
        <v>27</v>
      </c>
      <c r="D98">
        <v>15</v>
      </c>
      <c r="E98" t="str">
        <f t="shared" ref="E98:E129" si="3">_xlfn.CONCAT(A98,B98)</f>
        <v>SOLIDAGOColocación de pingos</v>
      </c>
    </row>
    <row r="99" spans="1:5" x14ac:dyDescent="0.3">
      <c r="A99" t="s">
        <v>0</v>
      </c>
      <c r="B99" t="s">
        <v>28</v>
      </c>
      <c r="C99" t="s">
        <v>24</v>
      </c>
      <c r="D99">
        <v>20</v>
      </c>
      <c r="E99" t="str">
        <f t="shared" si="3"/>
        <v>SOLIDAGOCosecha</v>
      </c>
    </row>
    <row r="100" spans="1:5" x14ac:dyDescent="0.3">
      <c r="A100" t="s">
        <v>0</v>
      </c>
      <c r="B100" t="s">
        <v>53</v>
      </c>
      <c r="C100" t="s">
        <v>24</v>
      </c>
      <c r="D100">
        <v>300</v>
      </c>
      <c r="E100" t="str">
        <f t="shared" si="3"/>
        <v>SOLIDAGOMalleros</v>
      </c>
    </row>
    <row r="101" spans="1:5" x14ac:dyDescent="0.3">
      <c r="A101" t="s">
        <v>0</v>
      </c>
      <c r="B101" t="s">
        <v>33</v>
      </c>
      <c r="C101" t="s">
        <v>18</v>
      </c>
      <c r="D101">
        <v>3</v>
      </c>
      <c r="E101" t="str">
        <f t="shared" si="3"/>
        <v>SOLIDAGODesmalezado</v>
      </c>
    </row>
    <row r="102" spans="1:5" x14ac:dyDescent="0.3">
      <c r="A102" t="s">
        <v>0</v>
      </c>
      <c r="B102" t="s">
        <v>68</v>
      </c>
      <c r="C102" t="s">
        <v>18</v>
      </c>
      <c r="D102">
        <v>4</v>
      </c>
      <c r="E102" t="str">
        <f t="shared" si="3"/>
        <v>SOLIDAGOEscarif. Siem</v>
      </c>
    </row>
    <row r="103" spans="1:5" x14ac:dyDescent="0.3">
      <c r="A103" t="s">
        <v>0</v>
      </c>
      <c r="B103" t="s">
        <v>69</v>
      </c>
      <c r="C103" t="s">
        <v>18</v>
      </c>
      <c r="D103">
        <v>3</v>
      </c>
      <c r="E103" t="str">
        <f t="shared" si="3"/>
        <v>SOLIDAGOEscarif. Poda</v>
      </c>
    </row>
    <row r="104" spans="1:5" x14ac:dyDescent="0.3">
      <c r="A104" t="s">
        <v>0</v>
      </c>
      <c r="B104" t="s">
        <v>57</v>
      </c>
      <c r="C104" t="s">
        <v>18</v>
      </c>
      <c r="D104">
        <v>6</v>
      </c>
      <c r="E104" t="str">
        <f t="shared" si="3"/>
        <v>SOLIDAGOGuiado / Peinado</v>
      </c>
    </row>
    <row r="105" spans="1:5" x14ac:dyDescent="0.3">
      <c r="A105" t="s">
        <v>0</v>
      </c>
      <c r="B105" t="s">
        <v>39</v>
      </c>
      <c r="C105" t="s">
        <v>18</v>
      </c>
      <c r="D105">
        <v>2</v>
      </c>
      <c r="E105" t="str">
        <f t="shared" si="3"/>
        <v>SOLIDAGOPinch</v>
      </c>
    </row>
    <row r="106" spans="1:5" x14ac:dyDescent="0.3">
      <c r="A106" t="s">
        <v>0</v>
      </c>
      <c r="B106" t="s">
        <v>72</v>
      </c>
      <c r="C106" t="s">
        <v>18</v>
      </c>
      <c r="D106">
        <v>2</v>
      </c>
      <c r="E106" t="str">
        <f t="shared" si="3"/>
        <v xml:space="preserve">SOLIDAGOPoda guadañado </v>
      </c>
    </row>
    <row r="107" spans="1:5" x14ac:dyDescent="0.3">
      <c r="A107" t="s">
        <v>0</v>
      </c>
      <c r="B107" t="s">
        <v>61</v>
      </c>
      <c r="C107" t="s">
        <v>31</v>
      </c>
      <c r="D107">
        <v>300</v>
      </c>
      <c r="E107" t="str">
        <f t="shared" si="3"/>
        <v>SOLIDAGORaleo poda / Selección</v>
      </c>
    </row>
    <row r="108" spans="1:5" x14ac:dyDescent="0.3">
      <c r="A108" t="s">
        <v>0</v>
      </c>
      <c r="B108" t="s">
        <v>62</v>
      </c>
      <c r="C108" t="s">
        <v>31</v>
      </c>
      <c r="D108">
        <v>500</v>
      </c>
      <c r="E108" t="str">
        <f t="shared" si="3"/>
        <v>SOLIDAGORaleo siembra / Selección</v>
      </c>
    </row>
    <row r="109" spans="1:5" x14ac:dyDescent="0.3">
      <c r="A109" t="s">
        <v>0</v>
      </c>
      <c r="B109" t="s">
        <v>63</v>
      </c>
      <c r="C109" t="s">
        <v>18</v>
      </c>
      <c r="D109">
        <v>0.7</v>
      </c>
      <c r="E109" t="str">
        <f t="shared" si="3"/>
        <v>SOLIDAGOSacado de hoja</v>
      </c>
    </row>
    <row r="110" spans="1:5" x14ac:dyDescent="0.3">
      <c r="A110" t="s">
        <v>0</v>
      </c>
      <c r="B110" t="s">
        <v>43</v>
      </c>
      <c r="C110" t="s">
        <v>31</v>
      </c>
      <c r="D110">
        <v>1000</v>
      </c>
      <c r="E110" t="str">
        <f t="shared" si="3"/>
        <v>SOLIDAGOSiembra</v>
      </c>
    </row>
    <row r="111" spans="1:5" x14ac:dyDescent="0.3">
      <c r="A111" t="s">
        <v>0</v>
      </c>
      <c r="B111" t="s">
        <v>38</v>
      </c>
      <c r="C111" t="s">
        <v>18</v>
      </c>
      <c r="D111">
        <v>4</v>
      </c>
      <c r="E111" t="str">
        <f t="shared" si="3"/>
        <v>SOLIDAGOTrinchado</v>
      </c>
    </row>
    <row r="112" spans="1:5" x14ac:dyDescent="0.3">
      <c r="A112" t="s">
        <v>0</v>
      </c>
      <c r="B112" t="s">
        <v>46</v>
      </c>
      <c r="C112" t="s">
        <v>18</v>
      </c>
      <c r="D112">
        <v>4</v>
      </c>
      <c r="E112" t="str">
        <f t="shared" si="3"/>
        <v>SOLIDAGOTejido viejo</v>
      </c>
    </row>
    <row r="113" spans="1:5" x14ac:dyDescent="0.3">
      <c r="A113" t="s">
        <v>0</v>
      </c>
      <c r="B113" t="s">
        <v>48</v>
      </c>
      <c r="C113" t="s">
        <v>18</v>
      </c>
      <c r="D113">
        <v>3</v>
      </c>
      <c r="E113" t="str">
        <f t="shared" si="3"/>
        <v>SOLIDAGOTumba</v>
      </c>
    </row>
    <row r="114" spans="1:5" x14ac:dyDescent="0.3">
      <c r="A114" t="s">
        <v>0</v>
      </c>
      <c r="B114" t="s">
        <v>49</v>
      </c>
      <c r="C114" t="s">
        <v>18</v>
      </c>
      <c r="D114">
        <v>6</v>
      </c>
      <c r="E114" t="str">
        <f t="shared" si="3"/>
        <v>SOLIDAGOTutoreo</v>
      </c>
    </row>
    <row r="115" spans="1:5" x14ac:dyDescent="0.3">
      <c r="A115" t="s">
        <v>0</v>
      </c>
      <c r="B115" t="s">
        <v>74</v>
      </c>
      <c r="C115" t="s">
        <v>18</v>
      </c>
      <c r="D115">
        <v>6</v>
      </c>
      <c r="E115" t="str">
        <f t="shared" si="3"/>
        <v>SOLIDAGOVegetativo</v>
      </c>
    </row>
    <row r="116" spans="1:5" x14ac:dyDescent="0.3">
      <c r="A116" t="s">
        <v>9</v>
      </c>
      <c r="B116" t="s">
        <v>28</v>
      </c>
      <c r="C116" t="s">
        <v>24</v>
      </c>
      <c r="D116">
        <v>8.3333333330000006</v>
      </c>
      <c r="E116" t="str">
        <f t="shared" si="3"/>
        <v>SUNFLOWERCosecha</v>
      </c>
    </row>
    <row r="117" spans="1:5" x14ac:dyDescent="0.3">
      <c r="A117" t="s">
        <v>9</v>
      </c>
      <c r="B117" t="s">
        <v>19</v>
      </c>
      <c r="C117" t="s">
        <v>18</v>
      </c>
      <c r="D117">
        <v>4</v>
      </c>
      <c r="E117" t="str">
        <f t="shared" si="3"/>
        <v>SUNFLOWERAlzado de hombros con compost</v>
      </c>
    </row>
    <row r="118" spans="1:5" x14ac:dyDescent="0.3">
      <c r="A118" t="s">
        <v>9</v>
      </c>
      <c r="B118" t="s">
        <v>20</v>
      </c>
      <c r="C118" t="s">
        <v>18</v>
      </c>
      <c r="D118">
        <v>6</v>
      </c>
      <c r="E118" t="str">
        <f t="shared" si="3"/>
        <v>SUNFLOWERAlzado de hombros sin compost</v>
      </c>
    </row>
    <row r="119" spans="1:5" x14ac:dyDescent="0.3">
      <c r="A119" t="s">
        <v>9</v>
      </c>
      <c r="B119" t="s">
        <v>52</v>
      </c>
      <c r="C119" t="s">
        <v>18</v>
      </c>
      <c r="D119">
        <v>6</v>
      </c>
      <c r="E119" t="str">
        <f t="shared" si="3"/>
        <v>SUNFLOWERColocación de alambre</v>
      </c>
    </row>
    <row r="120" spans="1:5" x14ac:dyDescent="0.3">
      <c r="A120" t="s">
        <v>9</v>
      </c>
      <c r="B120" t="s">
        <v>53</v>
      </c>
      <c r="C120" t="s">
        <v>24</v>
      </c>
      <c r="D120">
        <v>300</v>
      </c>
      <c r="E120" t="str">
        <f t="shared" si="3"/>
        <v>SUNFLOWERMalleros</v>
      </c>
    </row>
    <row r="121" spans="1:5" x14ac:dyDescent="0.3">
      <c r="A121" t="s">
        <v>9</v>
      </c>
      <c r="B121" t="s">
        <v>25</v>
      </c>
      <c r="C121" t="s">
        <v>18</v>
      </c>
      <c r="D121">
        <v>5</v>
      </c>
      <c r="E121" t="str">
        <f t="shared" si="3"/>
        <v>SUNFLOWERColocación de escalerillas</v>
      </c>
    </row>
    <row r="122" spans="1:5" x14ac:dyDescent="0.3">
      <c r="A122" t="s">
        <v>9</v>
      </c>
      <c r="B122" t="s">
        <v>23</v>
      </c>
      <c r="C122" t="s">
        <v>18</v>
      </c>
      <c r="D122">
        <v>2</v>
      </c>
      <c r="E122" t="str">
        <f t="shared" si="3"/>
        <v>SUNFLOWERColocación de mallas</v>
      </c>
    </row>
    <row r="123" spans="1:5" x14ac:dyDescent="0.3">
      <c r="A123" t="s">
        <v>9</v>
      </c>
      <c r="B123" t="s">
        <v>75</v>
      </c>
      <c r="C123" t="s">
        <v>18</v>
      </c>
      <c r="D123">
        <v>12</v>
      </c>
      <c r="E123" t="str">
        <f t="shared" si="3"/>
        <v xml:space="preserve">SUNFLOWERColocación de pingos </v>
      </c>
    </row>
    <row r="124" spans="1:5" x14ac:dyDescent="0.3">
      <c r="A124" t="s">
        <v>9</v>
      </c>
      <c r="B124" t="s">
        <v>33</v>
      </c>
      <c r="C124" t="s">
        <v>18</v>
      </c>
      <c r="D124">
        <v>1.5</v>
      </c>
      <c r="E124" t="str">
        <f t="shared" si="3"/>
        <v>SUNFLOWERDesmalezado</v>
      </c>
    </row>
    <row r="125" spans="1:5" x14ac:dyDescent="0.3">
      <c r="A125" t="s">
        <v>9</v>
      </c>
      <c r="B125" t="s">
        <v>76</v>
      </c>
      <c r="C125" t="s">
        <v>18</v>
      </c>
      <c r="D125">
        <v>4</v>
      </c>
      <c r="E125" t="str">
        <f t="shared" si="3"/>
        <v>SUNFLOWERDestapado de saran</v>
      </c>
    </row>
    <row r="126" spans="1:5" x14ac:dyDescent="0.3">
      <c r="A126" t="s">
        <v>9</v>
      </c>
      <c r="B126" t="s">
        <v>35</v>
      </c>
      <c r="C126" t="s">
        <v>18</v>
      </c>
      <c r="D126">
        <v>4</v>
      </c>
      <c r="E126" t="str">
        <f t="shared" si="3"/>
        <v>SUNFLOWEREscarificado</v>
      </c>
    </row>
    <row r="127" spans="1:5" x14ac:dyDescent="0.3">
      <c r="A127" t="s">
        <v>9</v>
      </c>
      <c r="B127" t="s">
        <v>67</v>
      </c>
      <c r="C127" t="s">
        <v>18</v>
      </c>
      <c r="D127">
        <v>0.6</v>
      </c>
      <c r="E127" t="str">
        <f t="shared" si="3"/>
        <v>SUNFLOWERAlzado de camas</v>
      </c>
    </row>
    <row r="128" spans="1:5" x14ac:dyDescent="0.3">
      <c r="A128" t="s">
        <v>9</v>
      </c>
      <c r="B128" t="s">
        <v>77</v>
      </c>
      <c r="C128" t="s">
        <v>78</v>
      </c>
      <c r="D128">
        <v>1200</v>
      </c>
      <c r="E128" t="str">
        <f t="shared" si="3"/>
        <v>SUNFLOWERSiem.Semilla</v>
      </c>
    </row>
    <row r="129" spans="1:5" x14ac:dyDescent="0.3">
      <c r="A129" t="s">
        <v>9</v>
      </c>
      <c r="B129" t="s">
        <v>79</v>
      </c>
      <c r="C129" t="s">
        <v>31</v>
      </c>
      <c r="D129">
        <v>650</v>
      </c>
      <c r="E129" t="str">
        <f t="shared" si="3"/>
        <v>SUNFLOWERSiem.Plantula</v>
      </c>
    </row>
    <row r="130" spans="1:5" x14ac:dyDescent="0.3">
      <c r="A130" t="s">
        <v>9</v>
      </c>
      <c r="B130" t="s">
        <v>48</v>
      </c>
      <c r="C130" t="s">
        <v>18</v>
      </c>
      <c r="D130">
        <v>3</v>
      </c>
      <c r="E130" t="str">
        <f t="shared" ref="E130:E150" si="4">_xlfn.CONCAT(A130,B130)</f>
        <v>SUNFLOWERTumba</v>
      </c>
    </row>
    <row r="131" spans="1:5" x14ac:dyDescent="0.3">
      <c r="A131" t="s">
        <v>9</v>
      </c>
      <c r="B131" t="s">
        <v>38</v>
      </c>
      <c r="C131" t="s">
        <v>18</v>
      </c>
      <c r="D131">
        <v>4</v>
      </c>
      <c r="E131" t="str">
        <f t="shared" si="4"/>
        <v>SUNFLOWERTrinchado</v>
      </c>
    </row>
    <row r="132" spans="1:5" x14ac:dyDescent="0.3">
      <c r="A132" t="s">
        <v>9</v>
      </c>
      <c r="B132" t="s">
        <v>80</v>
      </c>
      <c r="C132" t="s">
        <v>18</v>
      </c>
      <c r="D132">
        <v>3</v>
      </c>
      <c r="E132" t="str">
        <f t="shared" si="4"/>
        <v>SUNFLOWERTapado con saran</v>
      </c>
    </row>
    <row r="133" spans="1:5" x14ac:dyDescent="0.3">
      <c r="A133" t="s">
        <v>9</v>
      </c>
      <c r="B133" t="s">
        <v>49</v>
      </c>
      <c r="C133" t="s">
        <v>18</v>
      </c>
      <c r="D133">
        <v>7</v>
      </c>
      <c r="E133" t="str">
        <f t="shared" si="4"/>
        <v>SUNFLOWERTutoreo</v>
      </c>
    </row>
    <row r="134" spans="1:5" x14ac:dyDescent="0.3">
      <c r="A134" t="s">
        <v>81</v>
      </c>
      <c r="B134" t="s">
        <v>82</v>
      </c>
      <c r="C134" t="s">
        <v>18</v>
      </c>
      <c r="D134">
        <v>6</v>
      </c>
      <c r="E134" t="str">
        <f t="shared" si="4"/>
        <v>FERTILIZACIONPicar Caminos</v>
      </c>
    </row>
    <row r="135" spans="1:5" x14ac:dyDescent="0.3">
      <c r="A135" t="s">
        <v>81</v>
      </c>
      <c r="B135" t="s">
        <v>83</v>
      </c>
      <c r="C135" t="s">
        <v>18</v>
      </c>
      <c r="D135">
        <v>3</v>
      </c>
      <c r="E135" t="str">
        <f t="shared" si="4"/>
        <v>FERTILIZACIONDesarmada</v>
      </c>
    </row>
    <row r="136" spans="1:5" x14ac:dyDescent="0.3">
      <c r="A136" t="s">
        <v>81</v>
      </c>
      <c r="B136" t="s">
        <v>84</v>
      </c>
      <c r="C136" t="s">
        <v>18</v>
      </c>
      <c r="D136">
        <v>5</v>
      </c>
      <c r="E136" t="str">
        <f t="shared" si="4"/>
        <v>FERTILIZACIONTrinchar</v>
      </c>
    </row>
    <row r="137" spans="1:5" x14ac:dyDescent="0.3">
      <c r="A137" t="s">
        <v>81</v>
      </c>
      <c r="B137" t="s">
        <v>85</v>
      </c>
      <c r="C137" t="s">
        <v>18</v>
      </c>
      <c r="D137">
        <v>10</v>
      </c>
      <c r="E137" t="str">
        <f t="shared" si="4"/>
        <v>FERTILIZACIONSurco Siembra</v>
      </c>
    </row>
    <row r="138" spans="1:5" x14ac:dyDescent="0.3">
      <c r="A138" t="s">
        <v>81</v>
      </c>
      <c r="B138" t="s">
        <v>86</v>
      </c>
      <c r="C138" t="s">
        <v>18</v>
      </c>
      <c r="D138">
        <v>7</v>
      </c>
      <c r="E138" t="str">
        <f t="shared" si="4"/>
        <v>FERTILIZACIONCol. Mang. Simb</v>
      </c>
    </row>
    <row r="139" spans="1:5" x14ac:dyDescent="0.3">
      <c r="A139" t="s">
        <v>81</v>
      </c>
      <c r="B139" t="s">
        <v>87</v>
      </c>
      <c r="C139" t="s">
        <v>18</v>
      </c>
      <c r="D139">
        <v>10</v>
      </c>
      <c r="E139" t="str">
        <f t="shared" si="4"/>
        <v>FERTILIZACIONCol.Mang. Poda</v>
      </c>
    </row>
    <row r="140" spans="1:5" x14ac:dyDescent="0.3">
      <c r="A140" t="s">
        <v>81</v>
      </c>
      <c r="B140" t="s">
        <v>88</v>
      </c>
      <c r="C140" t="s">
        <v>18</v>
      </c>
      <c r="D140">
        <v>10</v>
      </c>
      <c r="E140" t="str">
        <f t="shared" si="4"/>
        <v>FERTILIZACIONSacar Mangueras</v>
      </c>
    </row>
    <row r="141" spans="1:5" x14ac:dyDescent="0.3">
      <c r="A141" t="s">
        <v>81</v>
      </c>
      <c r="B141" t="s">
        <v>89</v>
      </c>
      <c r="C141" t="s">
        <v>18</v>
      </c>
      <c r="D141">
        <v>12</v>
      </c>
      <c r="E141" t="str">
        <f t="shared" si="4"/>
        <v>FERTILIZACIONCol. Blaukorn Gyp</v>
      </c>
    </row>
    <row r="142" spans="1:5" x14ac:dyDescent="0.3">
      <c r="A142" t="s">
        <v>81</v>
      </c>
      <c r="B142" t="s">
        <v>90</v>
      </c>
      <c r="C142" t="s">
        <v>18</v>
      </c>
      <c r="D142">
        <v>1</v>
      </c>
      <c r="E142" t="str">
        <f t="shared" si="4"/>
        <v>FERTILIZACIONVarios</v>
      </c>
    </row>
    <row r="143" spans="1:5" x14ac:dyDescent="0.3">
      <c r="A143" t="s">
        <v>81</v>
      </c>
      <c r="B143" t="s">
        <v>91</v>
      </c>
      <c r="C143" t="s">
        <v>18</v>
      </c>
      <c r="D143">
        <v>2</v>
      </c>
      <c r="E143" t="str">
        <f t="shared" si="4"/>
        <v>FERTILIZACIONCol. Calcimed</v>
      </c>
    </row>
    <row r="144" spans="1:5" x14ac:dyDescent="0.3">
      <c r="A144" t="s">
        <v>92</v>
      </c>
      <c r="B144" t="s">
        <v>93</v>
      </c>
      <c r="C144" t="s">
        <v>18</v>
      </c>
      <c r="D144">
        <v>32</v>
      </c>
      <c r="E144" t="str">
        <f t="shared" si="4"/>
        <v>FUMIGACIONFumigación</v>
      </c>
    </row>
    <row r="145" spans="1:5" x14ac:dyDescent="0.3">
      <c r="A145" t="s">
        <v>92</v>
      </c>
      <c r="B145" t="s">
        <v>94</v>
      </c>
      <c r="C145" t="s">
        <v>18</v>
      </c>
      <c r="D145">
        <v>46</v>
      </c>
      <c r="E145" t="str">
        <f t="shared" si="4"/>
        <v>FUMIGACIONEnraizantes</v>
      </c>
    </row>
    <row r="146" spans="1:5" x14ac:dyDescent="0.3">
      <c r="A146" t="s">
        <v>92</v>
      </c>
      <c r="B146" t="s">
        <v>95</v>
      </c>
      <c r="C146" t="s">
        <v>18</v>
      </c>
      <c r="D146">
        <v>28</v>
      </c>
      <c r="E146" t="str">
        <f t="shared" si="4"/>
        <v>FUMIGACIONGiberélico</v>
      </c>
    </row>
    <row r="147" spans="1:5" x14ac:dyDescent="0.3">
      <c r="A147" t="s">
        <v>92</v>
      </c>
      <c r="B147" t="s">
        <v>96</v>
      </c>
      <c r="C147" t="s">
        <v>18</v>
      </c>
      <c r="D147">
        <v>23</v>
      </c>
      <c r="E147" t="str">
        <f t="shared" si="4"/>
        <v>FUMIGACIONDrench</v>
      </c>
    </row>
    <row r="148" spans="1:5" x14ac:dyDescent="0.3">
      <c r="A148" t="s">
        <v>92</v>
      </c>
      <c r="B148" t="s">
        <v>97</v>
      </c>
      <c r="C148" t="s">
        <v>18</v>
      </c>
      <c r="D148">
        <v>23</v>
      </c>
      <c r="E148" t="str">
        <f t="shared" si="4"/>
        <v>FUMIGACIONDesinfección</v>
      </c>
    </row>
    <row r="149" spans="1:5" x14ac:dyDescent="0.3">
      <c r="A149" t="s">
        <v>92</v>
      </c>
      <c r="B149" t="s">
        <v>98</v>
      </c>
      <c r="C149" t="s">
        <v>18</v>
      </c>
      <c r="D149">
        <v>1</v>
      </c>
      <c r="E149" t="str">
        <f t="shared" si="4"/>
        <v>FUMIGACIONOperadores</v>
      </c>
    </row>
    <row r="150" spans="1:5" x14ac:dyDescent="0.3">
      <c r="A150" t="s">
        <v>92</v>
      </c>
      <c r="B150" t="s">
        <v>90</v>
      </c>
      <c r="C150" t="s">
        <v>18</v>
      </c>
      <c r="D150">
        <v>1</v>
      </c>
      <c r="E150" t="str">
        <f t="shared" si="4"/>
        <v>FUMIGACIONVarios</v>
      </c>
    </row>
  </sheetData>
  <autoFilter ref="A1:E1" xr:uid="{9BAF8F42-9A97-42D7-9555-9F419B1900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SIEMBRA</vt:lpstr>
      <vt:lpstr>DESBROTE</vt:lpstr>
      <vt:lpstr>DESMALEZADO</vt:lpstr>
      <vt:lpstr>COSECHA</vt:lpstr>
      <vt:lpstr>RENDIMIENTOS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Alejandro Velez Reyes</dc:creator>
  <cp:lastModifiedBy>Rene Alejandro Velez Reyes</cp:lastModifiedBy>
  <dcterms:created xsi:type="dcterms:W3CDTF">2026-03-14T17:34:19Z</dcterms:created>
  <dcterms:modified xsi:type="dcterms:W3CDTF">2026-03-14T19:47:38Z</dcterms:modified>
</cp:coreProperties>
</file>